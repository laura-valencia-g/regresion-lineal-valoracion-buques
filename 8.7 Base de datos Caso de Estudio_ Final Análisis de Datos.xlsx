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av\Documents\Universidad\Semestre 4\Análisis de Datos\"/>
    </mc:Choice>
  </mc:AlternateContent>
  <xr:revisionPtr revIDLastSave="0" documentId="8_{705C0DDA-750C-4E37-BE0A-CB319DC2B652}" xr6:coauthVersionLast="47" xr6:coauthVersionMax="47" xr10:uidLastSave="{00000000-0000-0000-0000-000000000000}"/>
  <bookViews>
    <workbookView xWindow="-110" yWindow="-110" windowWidth="19420" windowHeight="10300" activeTab="2" xr2:uid="{83EA7AAF-9BF2-412A-8322-2915C5E36A33}"/>
  </bookViews>
  <sheets>
    <sheet name="Datos" sheetId="1" r:id="rId1"/>
    <sheet name="X1_X2_X3" sheetId="2" r:id="rId2"/>
    <sheet name="X1_X2" sheetId="4" r:id="rId3"/>
    <sheet name="X1_X3" sheetId="7" r:id="rId4"/>
    <sheet name="X2_X3" sheetId="8" r:id="rId5"/>
    <sheet name="X1" sheetId="9" r:id="rId6"/>
    <sheet name="X2" sheetId="10" r:id="rId7"/>
    <sheet name="X3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5" i="11" l="1"/>
  <c r="C35" i="10"/>
  <c r="C35" i="9"/>
  <c r="C42" i="8"/>
  <c r="C42" i="7"/>
  <c r="C42" i="4"/>
  <c r="C45" i="2"/>
</calcChain>
</file>

<file path=xl/sharedStrings.xml><?xml version="1.0" encoding="utf-8"?>
<sst xmlns="http://schemas.openxmlformats.org/spreadsheetml/2006/main" count="360" uniqueCount="107">
  <si>
    <t xml:space="preserve">Fecha de venta </t>
  </si>
  <si>
    <t>Nombre de la embarcación</t>
  </si>
  <si>
    <t>Precio de Venta US$ Millones</t>
  </si>
  <si>
    <t>Año de construcción</t>
  </si>
  <si>
    <t>Años de creado en la venta</t>
  </si>
  <si>
    <t>Peso muerto 
(en Ton)</t>
  </si>
  <si>
    <t>Promedio mensual 
Baltic Dry-Indice Capesize</t>
  </si>
  <si>
    <t>P.Venta (Y)</t>
  </si>
  <si>
    <t>Antigüedad (x1)</t>
  </si>
  <si>
    <t>Capacidad (X2)</t>
  </si>
  <si>
    <t>I_Capesize(X3)</t>
  </si>
  <si>
    <t>Lowlands Beilun</t>
  </si>
  <si>
    <t>CHS Moon</t>
  </si>
  <si>
    <t>Spring Brave</t>
  </si>
  <si>
    <t>Martha Verity</t>
  </si>
  <si>
    <t>TMT TBN</t>
  </si>
  <si>
    <t>Pantelis SP</t>
  </si>
  <si>
    <t>Amazon</t>
  </si>
  <si>
    <t>Cape Kassos</t>
  </si>
  <si>
    <t>Johnny K</t>
  </si>
  <si>
    <t>Zorbas</t>
  </si>
  <si>
    <t>Americana</t>
  </si>
  <si>
    <t>Ullswater</t>
  </si>
  <si>
    <t>Formosabulk Brave</t>
  </si>
  <si>
    <t>Formosabulk Clem</t>
  </si>
  <si>
    <t>Nautical Dream</t>
  </si>
  <si>
    <t>Formosabulk Allstar</t>
  </si>
  <si>
    <t>Arimatian</t>
  </si>
  <si>
    <t>Boss</t>
  </si>
  <si>
    <t>Zorbas II</t>
  </si>
  <si>
    <t>Fertilia</t>
  </si>
  <si>
    <t>Ingenius</t>
  </si>
  <si>
    <t>Anangel Dawn</t>
  </si>
  <si>
    <t>Orient Fortune</t>
  </si>
  <si>
    <t>Great Moon</t>
  </si>
  <si>
    <t>Gran Trader</t>
  </si>
  <si>
    <t>Cape Brazil</t>
  </si>
  <si>
    <t>Thalassini Kyra</t>
  </si>
  <si>
    <t>Tiger Lily</t>
  </si>
  <si>
    <t>Dong A-Helios</t>
  </si>
  <si>
    <t>Marine Hunter</t>
  </si>
  <si>
    <t>Peace Glory</t>
  </si>
  <si>
    <t>Sumihou</t>
  </si>
  <si>
    <t>Netadola</t>
  </si>
  <si>
    <t>Nordstar</t>
  </si>
  <si>
    <t>Captain Vangelis L</t>
  </si>
  <si>
    <t>Voutakos</t>
  </si>
  <si>
    <t>Sachuest</t>
  </si>
  <si>
    <t>Sinfonía</t>
  </si>
  <si>
    <t>Jin Tai</t>
  </si>
  <si>
    <t>Dias</t>
  </si>
  <si>
    <t>Desimi</t>
  </si>
  <si>
    <t>Samos</t>
  </si>
  <si>
    <t>Cape Sun</t>
  </si>
  <si>
    <t>Nightfight</t>
  </si>
  <si>
    <t xml:space="preserve">Cape Falcon </t>
  </si>
  <si>
    <t>Castle Peak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</si>
  <si>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</si>
  <si>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</si>
  <si>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</si>
  <si>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</si>
  <si>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</si>
  <si>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</si>
  <si>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</si>
  <si>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</si>
  <si>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</si>
  <si>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</si>
  <si>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</si>
  <si>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</si>
  <si>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</si>
  <si>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</si>
  <si>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</si>
  <si>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</si>
  <si>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</si>
  <si>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</si>
  <si>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</si>
  <si>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</si>
  <si>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</si>
  <si>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</si>
  <si>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</si>
  <si>
    <t>Barco Bet Performer</t>
  </si>
  <si>
    <t>Variable</t>
  </si>
  <si>
    <t xml:space="preserve">Variable </t>
  </si>
  <si>
    <t>Coeficientes de Regresión</t>
  </si>
  <si>
    <t>Variables Independientes</t>
  </si>
  <si>
    <t>Antigüedad = X1</t>
  </si>
  <si>
    <t>Capacidad = X2</t>
  </si>
  <si>
    <t>I_Capesize = X3</t>
  </si>
  <si>
    <t>Variable Dependiente</t>
  </si>
  <si>
    <t>P. Ventas = Y</t>
  </si>
  <si>
    <t>Antigüedad (X1)</t>
  </si>
  <si>
    <t>Antigüedad (Z1)</t>
  </si>
  <si>
    <t>Capacidad (Z2)</t>
  </si>
  <si>
    <t>I_Capesize(Z3)</t>
  </si>
  <si>
    <t>Intercepción (X0)</t>
  </si>
  <si>
    <t>P. Venta = X0 + X1(Z1) + X2(Z2) + X3(Z3)</t>
  </si>
  <si>
    <t>P. Venta (Y) =</t>
  </si>
  <si>
    <t>Variables</t>
  </si>
  <si>
    <t xml:space="preserve">P. Venta = X0 + X1(Z1) + X2(Z2) </t>
  </si>
  <si>
    <t xml:space="preserve">P. Venta = X0 + X1(Z1) + X3(Z3) </t>
  </si>
  <si>
    <t xml:space="preserve">Variables </t>
  </si>
  <si>
    <t>I_Capesize=X3</t>
  </si>
  <si>
    <t>Capacidad=X2</t>
  </si>
  <si>
    <t xml:space="preserve">P. Venta = X0 + X2(Z2) + X3(Z3) </t>
  </si>
  <si>
    <t xml:space="preserve">P. Venta = X0 + X1(Z1) </t>
  </si>
  <si>
    <t xml:space="preserve">P. Venta = X0 + X2(Z2) </t>
  </si>
  <si>
    <t xml:space="preserve">P. Venta = X0 + X3(Z3)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</si>
</sst>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17" fontId="0" fillId="0" borderId="0" xfId="0" applyNumberFormat="1"/>
    <xf numFmtId="164" fontId="0" fillId="0" borderId="0" xfId="1" applyNumberFormat="1" applyFont="1"/>
    <xf numFmtId="0" fontId="0" fillId="0" borderId="3" xfId="0" applyBorder="1"/>
    <xf numFmtId="3" fontId="0" fillId="0" borderId="3" xfId="0" applyNumberFormat="1" applyBorder="1"/>
    <xf numFmtId="0" fontId="2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5" fontId="0" fillId="0" borderId="3" xfId="0" applyNumberFormat="1" applyBorder="1"/>
    <xf numFmtId="0" fontId="0" fillId="0" borderId="0" xfId="0" applyBorder="1"/>
    <xf numFmtId="3" fontId="0" fillId="0" borderId="0" xfId="0" applyNumberFormat="1" applyBorder="1"/>
    <xf numFmtId="0" fontId="2" fillId="4" borderId="3" xfId="0" applyFont="1" applyFill="1" applyBorder="1" applyAlignment="1">
      <alignment horizontal="center"/>
    </xf>
    <xf numFmtId="0" fontId="0" fillId="0" borderId="0" xfId="0" applyFill="1" applyBorder="1"/>
    <xf numFmtId="0" fontId="0" fillId="0" borderId="3" xfId="0" applyFill="1" applyBorder="1"/>
    <xf numFmtId="0" fontId="2" fillId="0" borderId="0" xfId="0" applyFont="1" applyFill="1" applyBorder="1" applyAlignment="1"/>
    <xf numFmtId="0" fontId="2" fillId="2" borderId="3" xfId="0" applyFont="1" applyFill="1" applyBorder="1" applyAlignment="1">
      <alignment horizontal="center"/>
    </xf>
    <xf numFmtId="0" fontId="0" fillId="5" borderId="0" xfId="0" applyFill="1"/>
    <xf numFmtId="0" fontId="2" fillId="0" borderId="0" xfId="0" applyFont="1"/>
    <xf numFmtId="0" fontId="2" fillId="3" borderId="5" xfId="0" applyFont="1" applyFill="1" applyBorder="1" applyAlignment="1">
      <alignment horizontal="center"/>
    </xf>
    <xf numFmtId="165" fontId="0" fillId="0" borderId="0" xfId="0" applyNumberFormat="1" applyBorder="1"/>
    <xf numFmtId="165" fontId="0" fillId="5" borderId="0" xfId="0" applyNumberFormat="1" applyFill="1"/>
    <xf numFmtId="0" fontId="0" fillId="0" borderId="0" xfId="0" applyAlignment="1">
      <alignment horizontal="left" indent="1"/>
    </xf>
    <xf numFmtId="165" fontId="0" fillId="5" borderId="0" xfId="0" applyNumberFormat="1" applyFill="1" applyAlignment="1">
      <alignment horizontal="left" indent="9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1244934</xdr:colOff>
      <xdr:row>19</xdr:row>
      <xdr:rowOff>175460</xdr:rowOff>
    </xdr:from>
    <xdr:to>
      <xdr:col>7</xdr:col>
      <xdr:colOff>16711</xdr:colOff>
      <xdr:row>34</xdr:row>
      <xdr:rowOff>116974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815E62A-19E7-5EAE-6075-C2790E04DE80}"/>
            </a:ext>
          </a:extLst>
        </xdr:cNvPr>
        <xdr:cNvSpPr txBox="1"/>
      </xdr:nvSpPr>
      <xdr:spPr>
        <a:xfrm>
          <a:off x="5313947" y="3667960"/>
          <a:ext cx="3667961" cy="2698751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200"/>
            <a:t>Este es el mejor modelo de regresion dado que presenta una relacion lineal directa entre las 2 variables, debido a el coeficiente de correlacion positivo. </a:t>
          </a:r>
        </a:p>
        <a:p>
          <a:r>
            <a:rPr lang="es-CO" sz="1200"/>
            <a:t>Por otro lado el coeficiente de determinacion, es decir, la varianza del modelo, es menor a su correlacion multiple, sin embargo es positiva y de magnitud media-alta sin llegar a ser la mas alta de los modelos. </a:t>
          </a:r>
        </a:p>
        <a:p>
          <a:r>
            <a:rPr lang="es-CO" sz="1200"/>
            <a:t>El error tipico es de los más bajos de los modelos lo cual lo hace más estable. </a:t>
          </a:r>
        </a:p>
        <a:p>
          <a:r>
            <a:rPr lang="es-CO" sz="1200"/>
            <a:t>Este es el mejor modelo porque sus datos de varianza, correlacion y en general su comportamiento estadístico demuestra la mejor tendencia de todos, son menos fluctuantes respecto a los datos y resultados.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270E-6A85-43D3-8F95-EDB6F0C679C1}">
  <dimension ref="A1:M51"/>
  <sheetViews>
    <sheetView showGridLines="0" topLeftCell="A34" workbookViewId="0">
      <selection activeCell="R5" sqref="R5"/>
    </sheetView>
  </sheetViews>
  <sheetFormatPr baseColWidth="10" defaultRowHeight="14.5" x14ac:dyDescent="0.35"/>
  <cols>
    <col min="1" max="1" width="7.08984375" customWidth="1"/>
    <col min="3" max="3" width="17.453125" bestFit="1" customWidth="1"/>
    <col min="4" max="7" width="14.36328125" customWidth="1"/>
    <col min="8" max="8" width="23.453125" customWidth="1"/>
    <col min="12" max="12" width="14.36328125" customWidth="1"/>
    <col min="13" max="13" width="23.453125" customWidth="1"/>
  </cols>
  <sheetData>
    <row r="1" spans="1:13" ht="15" thickBot="1" x14ac:dyDescent="0.4">
      <c r="D1" s="1"/>
      <c r="F1" s="1"/>
      <c r="G1" s="1"/>
      <c r="H1" s="1"/>
      <c r="L1" s="1"/>
      <c r="M1" s="1"/>
    </row>
    <row r="2" spans="1:13" ht="29.5" thickBot="1" x14ac:dyDescent="0.4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 t="s">
        <v>6</v>
      </c>
      <c r="I2" s="5"/>
      <c r="L2" s="3" t="s">
        <v>4</v>
      </c>
      <c r="M2" s="4" t="s">
        <v>6</v>
      </c>
    </row>
    <row r="3" spans="1:13" x14ac:dyDescent="0.35">
      <c r="B3" s="6"/>
      <c r="C3" s="6"/>
      <c r="D3" s="6" t="s">
        <v>7</v>
      </c>
      <c r="E3" s="5"/>
      <c r="F3" s="6" t="s">
        <v>8</v>
      </c>
      <c r="G3" s="6" t="s">
        <v>9</v>
      </c>
      <c r="H3" s="7" t="s">
        <v>10</v>
      </c>
      <c r="I3" s="5"/>
      <c r="L3" s="6" t="s">
        <v>8</v>
      </c>
      <c r="M3" s="7" t="s">
        <v>10</v>
      </c>
    </row>
    <row r="4" spans="1:13" x14ac:dyDescent="0.35">
      <c r="A4">
        <v>1</v>
      </c>
      <c r="B4" s="8">
        <v>39083</v>
      </c>
      <c r="C4" t="s">
        <v>11</v>
      </c>
      <c r="D4">
        <v>73</v>
      </c>
      <c r="E4">
        <v>1999</v>
      </c>
      <c r="F4">
        <v>8</v>
      </c>
      <c r="G4">
        <v>170.2</v>
      </c>
      <c r="H4" s="9">
        <v>4647</v>
      </c>
      <c r="L4">
        <v>8</v>
      </c>
      <c r="M4" s="9">
        <v>4647</v>
      </c>
    </row>
    <row r="5" spans="1:13" x14ac:dyDescent="0.35">
      <c r="A5">
        <v>2</v>
      </c>
      <c r="B5" s="8">
        <v>39083</v>
      </c>
      <c r="C5" t="s">
        <v>12</v>
      </c>
      <c r="D5">
        <v>45</v>
      </c>
      <c r="E5">
        <v>1991</v>
      </c>
      <c r="F5">
        <v>16</v>
      </c>
      <c r="G5">
        <v>150.19999999999999</v>
      </c>
      <c r="H5" s="9">
        <v>4647</v>
      </c>
      <c r="L5">
        <v>16</v>
      </c>
      <c r="M5" s="9">
        <v>4647</v>
      </c>
    </row>
    <row r="6" spans="1:13" x14ac:dyDescent="0.35">
      <c r="A6">
        <v>3</v>
      </c>
      <c r="B6" s="8">
        <v>39083</v>
      </c>
      <c r="C6" t="s">
        <v>13</v>
      </c>
      <c r="D6">
        <v>62</v>
      </c>
      <c r="E6">
        <v>1995</v>
      </c>
      <c r="F6">
        <v>12</v>
      </c>
      <c r="G6">
        <v>151.1</v>
      </c>
      <c r="H6" s="9">
        <v>4647</v>
      </c>
      <c r="L6">
        <v>12</v>
      </c>
      <c r="M6" s="9">
        <v>4647</v>
      </c>
    </row>
    <row r="7" spans="1:13" x14ac:dyDescent="0.35">
      <c r="A7">
        <v>4</v>
      </c>
      <c r="B7" s="8">
        <v>39083</v>
      </c>
      <c r="C7" t="s">
        <v>14</v>
      </c>
      <c r="D7">
        <v>60</v>
      </c>
      <c r="E7">
        <v>1995</v>
      </c>
      <c r="F7">
        <v>12</v>
      </c>
      <c r="G7">
        <v>158</v>
      </c>
      <c r="H7" s="9">
        <v>4647</v>
      </c>
      <c r="L7">
        <v>12</v>
      </c>
      <c r="M7" s="9">
        <v>4647</v>
      </c>
    </row>
    <row r="8" spans="1:13" x14ac:dyDescent="0.35">
      <c r="A8">
        <v>5</v>
      </c>
      <c r="B8" s="8">
        <v>39083</v>
      </c>
      <c r="C8" t="s">
        <v>15</v>
      </c>
      <c r="D8">
        <v>61.3</v>
      </c>
      <c r="E8">
        <v>1993</v>
      </c>
      <c r="F8">
        <v>14</v>
      </c>
      <c r="G8">
        <v>174.7</v>
      </c>
      <c r="H8" s="9">
        <v>4647</v>
      </c>
      <c r="L8">
        <v>14</v>
      </c>
      <c r="M8" s="9">
        <v>4647</v>
      </c>
    </row>
    <row r="9" spans="1:13" x14ac:dyDescent="0.35">
      <c r="A9">
        <v>6</v>
      </c>
      <c r="B9" s="8">
        <v>39114</v>
      </c>
      <c r="C9" t="s">
        <v>16</v>
      </c>
      <c r="D9">
        <v>83</v>
      </c>
      <c r="E9">
        <v>1999</v>
      </c>
      <c r="F9">
        <v>8</v>
      </c>
      <c r="G9">
        <v>169.9</v>
      </c>
      <c r="H9" s="9">
        <v>4878</v>
      </c>
      <c r="L9">
        <v>8</v>
      </c>
      <c r="M9" s="9">
        <v>4878</v>
      </c>
    </row>
    <row r="10" spans="1:13" x14ac:dyDescent="0.35">
      <c r="A10">
        <v>7</v>
      </c>
      <c r="B10" s="8">
        <v>39114</v>
      </c>
      <c r="C10" t="s">
        <v>17</v>
      </c>
      <c r="D10">
        <v>45</v>
      </c>
      <c r="E10">
        <v>1990</v>
      </c>
      <c r="F10">
        <v>17</v>
      </c>
      <c r="G10">
        <v>149.5</v>
      </c>
      <c r="H10" s="9">
        <v>4878</v>
      </c>
      <c r="L10">
        <v>17</v>
      </c>
      <c r="M10" s="9">
        <v>4878</v>
      </c>
    </row>
    <row r="11" spans="1:13" x14ac:dyDescent="0.35">
      <c r="A11">
        <v>8</v>
      </c>
      <c r="B11" s="8">
        <v>39142</v>
      </c>
      <c r="C11" t="s">
        <v>18</v>
      </c>
      <c r="D11">
        <v>100</v>
      </c>
      <c r="E11">
        <v>2004</v>
      </c>
      <c r="F11">
        <v>3</v>
      </c>
      <c r="G11">
        <v>170</v>
      </c>
      <c r="H11" s="9">
        <v>5245</v>
      </c>
      <c r="L11">
        <v>3</v>
      </c>
      <c r="M11" s="9">
        <v>5245</v>
      </c>
    </row>
    <row r="12" spans="1:13" x14ac:dyDescent="0.35">
      <c r="A12">
        <v>9</v>
      </c>
      <c r="B12" s="8">
        <v>39142</v>
      </c>
      <c r="C12" t="s">
        <v>19</v>
      </c>
      <c r="D12">
        <v>65</v>
      </c>
      <c r="E12">
        <v>1994</v>
      </c>
      <c r="F12">
        <v>13</v>
      </c>
      <c r="G12">
        <v>165.3</v>
      </c>
      <c r="H12" s="9">
        <v>5245</v>
      </c>
      <c r="L12">
        <v>13</v>
      </c>
      <c r="M12" s="9">
        <v>5245</v>
      </c>
    </row>
    <row r="13" spans="1:13" x14ac:dyDescent="0.35">
      <c r="A13">
        <v>10</v>
      </c>
      <c r="B13" s="8">
        <v>39142</v>
      </c>
      <c r="C13" t="s">
        <v>20</v>
      </c>
      <c r="D13">
        <v>70</v>
      </c>
      <c r="E13">
        <v>1996</v>
      </c>
      <c r="F13">
        <v>11</v>
      </c>
      <c r="G13">
        <v>165.1</v>
      </c>
      <c r="H13" s="9">
        <v>5245</v>
      </c>
      <c r="L13">
        <v>11</v>
      </c>
      <c r="M13" s="9">
        <v>5245</v>
      </c>
    </row>
    <row r="14" spans="1:13" x14ac:dyDescent="0.35">
      <c r="A14">
        <v>11</v>
      </c>
      <c r="B14" s="8">
        <v>39142</v>
      </c>
      <c r="C14" t="s">
        <v>21</v>
      </c>
      <c r="D14">
        <v>33</v>
      </c>
      <c r="E14">
        <v>1987</v>
      </c>
      <c r="F14">
        <v>20</v>
      </c>
      <c r="G14">
        <v>149</v>
      </c>
      <c r="H14" s="9">
        <v>5245</v>
      </c>
      <c r="L14">
        <v>20</v>
      </c>
      <c r="M14" s="9">
        <v>5245</v>
      </c>
    </row>
    <row r="15" spans="1:13" x14ac:dyDescent="0.35">
      <c r="A15">
        <v>12</v>
      </c>
      <c r="B15" s="8">
        <v>39142</v>
      </c>
      <c r="C15" t="s">
        <v>14</v>
      </c>
      <c r="D15">
        <v>63</v>
      </c>
      <c r="E15">
        <v>1995</v>
      </c>
      <c r="F15">
        <v>12</v>
      </c>
      <c r="G15">
        <v>158</v>
      </c>
      <c r="H15" s="9">
        <v>5245</v>
      </c>
      <c r="L15">
        <v>12</v>
      </c>
      <c r="M15" s="9">
        <v>5245</v>
      </c>
    </row>
    <row r="16" spans="1:13" x14ac:dyDescent="0.35">
      <c r="A16">
        <v>13</v>
      </c>
      <c r="B16" s="8">
        <v>39142</v>
      </c>
      <c r="C16" t="s">
        <v>22</v>
      </c>
      <c r="D16">
        <v>43</v>
      </c>
      <c r="E16">
        <v>1990</v>
      </c>
      <c r="F16">
        <v>17</v>
      </c>
      <c r="G16">
        <v>123.5</v>
      </c>
      <c r="H16" s="9">
        <v>5245</v>
      </c>
      <c r="L16">
        <v>17</v>
      </c>
      <c r="M16" s="9">
        <v>5245</v>
      </c>
    </row>
    <row r="17" spans="1:13" x14ac:dyDescent="0.35">
      <c r="A17">
        <v>14</v>
      </c>
      <c r="B17" s="8">
        <v>39173</v>
      </c>
      <c r="C17" t="s">
        <v>23</v>
      </c>
      <c r="D17">
        <v>95</v>
      </c>
      <c r="E17">
        <v>2001</v>
      </c>
      <c r="F17">
        <v>6</v>
      </c>
      <c r="G17">
        <v>170.1</v>
      </c>
      <c r="H17" s="9">
        <v>5752</v>
      </c>
      <c r="L17">
        <v>6</v>
      </c>
      <c r="M17" s="9">
        <v>5752</v>
      </c>
    </row>
    <row r="18" spans="1:13" x14ac:dyDescent="0.35">
      <c r="A18">
        <v>15</v>
      </c>
      <c r="B18" s="8">
        <v>39173</v>
      </c>
      <c r="C18" t="s">
        <v>24</v>
      </c>
      <c r="D18">
        <v>95</v>
      </c>
      <c r="E18">
        <v>2001</v>
      </c>
      <c r="F18">
        <v>6</v>
      </c>
      <c r="G18">
        <v>170.1</v>
      </c>
      <c r="H18" s="9">
        <v>5752</v>
      </c>
      <c r="L18">
        <v>6</v>
      </c>
      <c r="M18" s="9">
        <v>5752</v>
      </c>
    </row>
    <row r="19" spans="1:13" x14ac:dyDescent="0.35">
      <c r="A19">
        <v>16</v>
      </c>
      <c r="B19" s="8">
        <v>39173</v>
      </c>
      <c r="C19" t="s">
        <v>25</v>
      </c>
      <c r="D19">
        <v>63.5</v>
      </c>
      <c r="E19">
        <v>1994</v>
      </c>
      <c r="F19">
        <v>13</v>
      </c>
      <c r="G19">
        <v>151.4</v>
      </c>
      <c r="H19" s="9">
        <v>5752</v>
      </c>
      <c r="L19">
        <v>13</v>
      </c>
      <c r="M19" s="9">
        <v>5752</v>
      </c>
    </row>
    <row r="20" spans="1:13" x14ac:dyDescent="0.35">
      <c r="A20">
        <v>17</v>
      </c>
      <c r="B20" s="8">
        <v>39173</v>
      </c>
      <c r="C20" t="s">
        <v>26</v>
      </c>
      <c r="D20">
        <v>67</v>
      </c>
      <c r="E20">
        <v>1995</v>
      </c>
      <c r="F20">
        <v>12</v>
      </c>
      <c r="G20">
        <v>150.4</v>
      </c>
      <c r="H20" s="9">
        <v>5752</v>
      </c>
      <c r="L20">
        <v>12</v>
      </c>
      <c r="M20" s="9">
        <v>5752</v>
      </c>
    </row>
    <row r="21" spans="1:13" x14ac:dyDescent="0.35">
      <c r="A21">
        <v>18</v>
      </c>
      <c r="B21" s="8">
        <v>39173</v>
      </c>
      <c r="C21" t="s">
        <v>27</v>
      </c>
      <c r="D21">
        <v>62</v>
      </c>
      <c r="E21">
        <v>1994</v>
      </c>
      <c r="F21">
        <v>13</v>
      </c>
      <c r="G21">
        <v>149.80000000000001</v>
      </c>
      <c r="H21" s="9">
        <v>5752</v>
      </c>
      <c r="L21">
        <v>13</v>
      </c>
      <c r="M21" s="9">
        <v>5752</v>
      </c>
    </row>
    <row r="22" spans="1:13" x14ac:dyDescent="0.35">
      <c r="A22">
        <v>19</v>
      </c>
      <c r="B22" s="8">
        <v>39173</v>
      </c>
      <c r="C22" t="s">
        <v>28</v>
      </c>
      <c r="D22">
        <v>31</v>
      </c>
      <c r="E22">
        <v>1985</v>
      </c>
      <c r="F22">
        <v>22</v>
      </c>
      <c r="G22">
        <v>139.80000000000001</v>
      </c>
      <c r="H22" s="9">
        <v>5752</v>
      </c>
      <c r="L22">
        <v>22</v>
      </c>
      <c r="M22" s="9">
        <v>5752</v>
      </c>
    </row>
    <row r="23" spans="1:13" x14ac:dyDescent="0.35">
      <c r="A23">
        <v>20</v>
      </c>
      <c r="B23" s="8">
        <v>39203</v>
      </c>
      <c r="C23" t="s">
        <v>29</v>
      </c>
      <c r="D23">
        <v>86</v>
      </c>
      <c r="E23">
        <v>1996</v>
      </c>
      <c r="F23">
        <v>11</v>
      </c>
      <c r="G23">
        <v>174.5</v>
      </c>
      <c r="H23" s="9">
        <v>6201</v>
      </c>
      <c r="L23">
        <v>11</v>
      </c>
      <c r="M23" s="9">
        <v>6201</v>
      </c>
    </row>
    <row r="24" spans="1:13" x14ac:dyDescent="0.35">
      <c r="A24">
        <v>21</v>
      </c>
      <c r="B24" s="8">
        <v>39203</v>
      </c>
      <c r="C24" t="s">
        <v>30</v>
      </c>
      <c r="D24">
        <v>50.5</v>
      </c>
      <c r="E24">
        <v>1997</v>
      </c>
      <c r="F24">
        <v>10</v>
      </c>
      <c r="G24">
        <v>172.6</v>
      </c>
      <c r="H24" s="9">
        <v>6201</v>
      </c>
      <c r="L24">
        <v>10</v>
      </c>
      <c r="M24" s="9">
        <v>6201</v>
      </c>
    </row>
    <row r="25" spans="1:13" x14ac:dyDescent="0.35">
      <c r="A25">
        <v>22</v>
      </c>
      <c r="B25" s="8">
        <v>39203</v>
      </c>
      <c r="C25" t="s">
        <v>31</v>
      </c>
      <c r="D25">
        <v>64.2</v>
      </c>
      <c r="E25">
        <v>1996</v>
      </c>
      <c r="F25">
        <v>11</v>
      </c>
      <c r="G25">
        <v>170</v>
      </c>
      <c r="H25" s="9">
        <v>6201</v>
      </c>
      <c r="L25">
        <v>11</v>
      </c>
      <c r="M25" s="9">
        <v>6201</v>
      </c>
    </row>
    <row r="26" spans="1:13" x14ac:dyDescent="0.35">
      <c r="A26">
        <v>23</v>
      </c>
      <c r="B26" s="8">
        <v>39234</v>
      </c>
      <c r="C26" t="s">
        <v>32</v>
      </c>
      <c r="D26">
        <v>67</v>
      </c>
      <c r="E26">
        <v>1994</v>
      </c>
      <c r="F26">
        <v>13</v>
      </c>
      <c r="G26">
        <v>149.30000000000001</v>
      </c>
      <c r="H26" s="9">
        <v>6618</v>
      </c>
      <c r="L26">
        <v>13</v>
      </c>
      <c r="M26" s="9">
        <v>6618</v>
      </c>
    </row>
    <row r="27" spans="1:13" x14ac:dyDescent="0.35">
      <c r="A27">
        <v>24</v>
      </c>
      <c r="B27" s="8">
        <v>39234</v>
      </c>
      <c r="C27" t="s">
        <v>33</v>
      </c>
      <c r="D27">
        <v>28</v>
      </c>
      <c r="E27">
        <v>1984</v>
      </c>
      <c r="F27">
        <v>23</v>
      </c>
      <c r="G27">
        <v>161.4</v>
      </c>
      <c r="H27" s="9">
        <v>6618</v>
      </c>
      <c r="L27">
        <v>23</v>
      </c>
      <c r="M27" s="9">
        <v>6618</v>
      </c>
    </row>
    <row r="28" spans="1:13" x14ac:dyDescent="0.35">
      <c r="A28">
        <v>25</v>
      </c>
      <c r="B28" s="8">
        <v>39234</v>
      </c>
      <c r="C28" t="s">
        <v>34</v>
      </c>
      <c r="D28">
        <v>30</v>
      </c>
      <c r="E28">
        <v>1984</v>
      </c>
      <c r="F28">
        <v>23</v>
      </c>
      <c r="G28">
        <v>146</v>
      </c>
      <c r="H28" s="9">
        <v>6980</v>
      </c>
      <c r="L28">
        <v>23</v>
      </c>
      <c r="M28" s="9">
        <v>6980</v>
      </c>
    </row>
    <row r="29" spans="1:13" x14ac:dyDescent="0.35">
      <c r="A29">
        <v>26</v>
      </c>
      <c r="B29" s="8">
        <v>39234</v>
      </c>
      <c r="C29" t="s">
        <v>35</v>
      </c>
      <c r="D29">
        <v>105</v>
      </c>
      <c r="E29">
        <v>2001</v>
      </c>
      <c r="F29">
        <v>6</v>
      </c>
      <c r="G29">
        <v>172.5</v>
      </c>
      <c r="H29" s="9">
        <v>6980</v>
      </c>
      <c r="L29">
        <v>6</v>
      </c>
      <c r="M29" s="9">
        <v>6980</v>
      </c>
    </row>
    <row r="30" spans="1:13" x14ac:dyDescent="0.35">
      <c r="A30">
        <v>27</v>
      </c>
      <c r="B30" s="8">
        <v>39295</v>
      </c>
      <c r="C30" t="s">
        <v>36</v>
      </c>
      <c r="D30">
        <v>22</v>
      </c>
      <c r="E30">
        <v>1981</v>
      </c>
      <c r="F30">
        <v>26</v>
      </c>
      <c r="G30">
        <v>140.80000000000001</v>
      </c>
      <c r="H30" s="9">
        <v>7441</v>
      </c>
      <c r="L30">
        <v>26</v>
      </c>
      <c r="M30" s="9">
        <v>7441</v>
      </c>
    </row>
    <row r="31" spans="1:13" x14ac:dyDescent="0.35">
      <c r="A31">
        <v>28</v>
      </c>
      <c r="B31" s="8">
        <v>39326</v>
      </c>
      <c r="C31" t="s">
        <v>37</v>
      </c>
      <c r="D31">
        <v>133</v>
      </c>
      <c r="E31">
        <v>2002</v>
      </c>
      <c r="F31">
        <v>5</v>
      </c>
      <c r="G31">
        <v>164.2</v>
      </c>
      <c r="H31" s="9">
        <v>8181</v>
      </c>
      <c r="L31">
        <v>5</v>
      </c>
      <c r="M31" s="9">
        <v>8181</v>
      </c>
    </row>
    <row r="32" spans="1:13" x14ac:dyDescent="0.35">
      <c r="A32">
        <v>29</v>
      </c>
      <c r="B32" s="8">
        <v>39356</v>
      </c>
      <c r="C32" t="s">
        <v>38</v>
      </c>
      <c r="D32">
        <v>90</v>
      </c>
      <c r="E32">
        <v>1995</v>
      </c>
      <c r="F32">
        <v>12</v>
      </c>
      <c r="G32">
        <v>149.19999999999999</v>
      </c>
      <c r="H32" s="9">
        <v>8886</v>
      </c>
      <c r="L32">
        <v>12</v>
      </c>
      <c r="M32" s="9">
        <v>8886</v>
      </c>
    </row>
    <row r="33" spans="1:13" x14ac:dyDescent="0.35">
      <c r="A33">
        <v>30</v>
      </c>
      <c r="B33" s="8">
        <v>39356</v>
      </c>
      <c r="C33" t="s">
        <v>39</v>
      </c>
      <c r="D33">
        <v>47</v>
      </c>
      <c r="E33">
        <v>1986</v>
      </c>
      <c r="F33">
        <v>21</v>
      </c>
      <c r="G33">
        <v>146.9</v>
      </c>
      <c r="H33" s="9">
        <v>8886</v>
      </c>
      <c r="L33">
        <v>21</v>
      </c>
      <c r="M33" s="9">
        <v>8886</v>
      </c>
    </row>
    <row r="34" spans="1:13" x14ac:dyDescent="0.35">
      <c r="A34">
        <v>31</v>
      </c>
      <c r="B34" s="8">
        <v>39356</v>
      </c>
      <c r="C34" t="s">
        <v>40</v>
      </c>
      <c r="D34">
        <v>45</v>
      </c>
      <c r="E34">
        <v>1984</v>
      </c>
      <c r="F34">
        <v>23</v>
      </c>
      <c r="G34">
        <v>164.5</v>
      </c>
      <c r="H34" s="9">
        <v>8886</v>
      </c>
      <c r="L34">
        <v>23</v>
      </c>
      <c r="M34" s="9">
        <v>8886</v>
      </c>
    </row>
    <row r="35" spans="1:13" x14ac:dyDescent="0.35">
      <c r="A35">
        <v>32</v>
      </c>
      <c r="B35" s="8">
        <v>39356</v>
      </c>
      <c r="C35" t="s">
        <v>41</v>
      </c>
      <c r="D35">
        <v>57</v>
      </c>
      <c r="E35">
        <v>1984</v>
      </c>
      <c r="F35">
        <v>23</v>
      </c>
      <c r="G35">
        <v>166.1</v>
      </c>
      <c r="H35" s="9">
        <v>8886</v>
      </c>
      <c r="L35">
        <v>23</v>
      </c>
      <c r="M35" s="9">
        <v>8886</v>
      </c>
    </row>
    <row r="36" spans="1:13" x14ac:dyDescent="0.35">
      <c r="A36">
        <v>33</v>
      </c>
      <c r="B36" s="8">
        <v>39387</v>
      </c>
      <c r="C36" t="s">
        <v>42</v>
      </c>
      <c r="D36">
        <v>106</v>
      </c>
      <c r="E36">
        <v>1996</v>
      </c>
      <c r="F36">
        <v>11</v>
      </c>
      <c r="G36">
        <v>171.1</v>
      </c>
      <c r="H36" s="9">
        <v>9663</v>
      </c>
      <c r="L36">
        <v>11</v>
      </c>
      <c r="M36" s="9">
        <v>9663</v>
      </c>
    </row>
    <row r="37" spans="1:13" x14ac:dyDescent="0.35">
      <c r="A37">
        <v>34</v>
      </c>
      <c r="B37" s="8">
        <v>39387</v>
      </c>
      <c r="C37" t="s">
        <v>35</v>
      </c>
      <c r="D37">
        <v>152</v>
      </c>
      <c r="E37">
        <v>2001</v>
      </c>
      <c r="F37">
        <v>6</v>
      </c>
      <c r="G37">
        <v>172.6</v>
      </c>
      <c r="H37" s="9">
        <v>9663</v>
      </c>
      <c r="L37">
        <v>6</v>
      </c>
      <c r="M37" s="9">
        <v>9663</v>
      </c>
    </row>
    <row r="38" spans="1:13" x14ac:dyDescent="0.35">
      <c r="A38">
        <v>35</v>
      </c>
      <c r="B38" s="8">
        <v>39387</v>
      </c>
      <c r="C38" t="s">
        <v>43</v>
      </c>
      <c r="D38">
        <v>97</v>
      </c>
      <c r="E38">
        <v>1993</v>
      </c>
      <c r="F38">
        <v>14</v>
      </c>
      <c r="G38">
        <v>149.5</v>
      </c>
      <c r="H38" s="9">
        <v>9663</v>
      </c>
      <c r="L38">
        <v>14</v>
      </c>
      <c r="M38" s="9">
        <v>9663</v>
      </c>
    </row>
    <row r="39" spans="1:13" x14ac:dyDescent="0.35">
      <c r="A39">
        <v>36</v>
      </c>
      <c r="B39" s="8">
        <v>39387</v>
      </c>
      <c r="C39" t="s">
        <v>44</v>
      </c>
      <c r="D39">
        <v>38</v>
      </c>
      <c r="E39">
        <v>1983</v>
      </c>
      <c r="F39">
        <v>24</v>
      </c>
      <c r="G39">
        <v>150.69999999999999</v>
      </c>
      <c r="H39" s="9">
        <v>9663</v>
      </c>
      <c r="L39">
        <v>24</v>
      </c>
      <c r="M39" s="9">
        <v>9663</v>
      </c>
    </row>
    <row r="40" spans="1:13" x14ac:dyDescent="0.35">
      <c r="A40">
        <v>37</v>
      </c>
      <c r="B40" s="8">
        <v>39387</v>
      </c>
      <c r="C40" t="s">
        <v>45</v>
      </c>
      <c r="D40">
        <v>87.5</v>
      </c>
      <c r="E40">
        <v>1992</v>
      </c>
      <c r="F40">
        <v>15</v>
      </c>
      <c r="G40">
        <v>148.19999999999999</v>
      </c>
      <c r="H40" s="9">
        <v>9663</v>
      </c>
      <c r="L40">
        <v>15</v>
      </c>
      <c r="M40" s="9">
        <v>9663</v>
      </c>
    </row>
    <row r="41" spans="1:13" x14ac:dyDescent="0.35">
      <c r="A41">
        <v>38</v>
      </c>
      <c r="B41" s="8">
        <v>39417</v>
      </c>
      <c r="C41" t="s">
        <v>46</v>
      </c>
      <c r="D41">
        <v>78</v>
      </c>
      <c r="E41">
        <v>1987</v>
      </c>
      <c r="F41">
        <v>20</v>
      </c>
      <c r="G41">
        <v>188.3</v>
      </c>
      <c r="H41" s="9">
        <v>10299</v>
      </c>
      <c r="L41">
        <v>20</v>
      </c>
      <c r="M41" s="9">
        <v>10299</v>
      </c>
    </row>
    <row r="42" spans="1:13" x14ac:dyDescent="0.35">
      <c r="A42">
        <v>39</v>
      </c>
      <c r="B42" s="8">
        <v>39417</v>
      </c>
      <c r="C42" t="s">
        <v>47</v>
      </c>
      <c r="D42">
        <v>35</v>
      </c>
      <c r="E42">
        <v>1986</v>
      </c>
      <c r="F42">
        <v>21</v>
      </c>
      <c r="G42">
        <v>98.4</v>
      </c>
      <c r="H42" s="9">
        <v>10299</v>
      </c>
      <c r="L42">
        <v>21</v>
      </c>
      <c r="M42" s="9">
        <v>10299</v>
      </c>
    </row>
    <row r="43" spans="1:13" x14ac:dyDescent="0.35">
      <c r="A43">
        <v>40</v>
      </c>
      <c r="B43" s="8">
        <v>39448</v>
      </c>
      <c r="C43" t="s">
        <v>48</v>
      </c>
      <c r="D43">
        <v>83.7</v>
      </c>
      <c r="E43">
        <v>1991</v>
      </c>
      <c r="F43">
        <v>17</v>
      </c>
      <c r="G43">
        <v>184.4</v>
      </c>
      <c r="H43" s="9">
        <v>10526</v>
      </c>
      <c r="L43">
        <v>17</v>
      </c>
      <c r="M43" s="9">
        <v>10526</v>
      </c>
    </row>
    <row r="44" spans="1:13" x14ac:dyDescent="0.35">
      <c r="A44">
        <v>41</v>
      </c>
      <c r="B44" s="8">
        <v>39448</v>
      </c>
      <c r="C44" t="s">
        <v>49</v>
      </c>
      <c r="D44">
        <v>155</v>
      </c>
      <c r="E44">
        <v>2004</v>
      </c>
      <c r="F44">
        <v>4</v>
      </c>
      <c r="G44">
        <v>173.9</v>
      </c>
      <c r="H44" s="9">
        <v>10526</v>
      </c>
      <c r="L44">
        <v>4</v>
      </c>
      <c r="M44" s="9">
        <v>10526</v>
      </c>
    </row>
    <row r="45" spans="1:13" x14ac:dyDescent="0.35">
      <c r="A45">
        <v>42</v>
      </c>
      <c r="B45" s="8">
        <v>39479</v>
      </c>
      <c r="C45" t="s">
        <v>50</v>
      </c>
      <c r="D45">
        <v>58</v>
      </c>
      <c r="E45">
        <v>1988</v>
      </c>
      <c r="F45">
        <v>20</v>
      </c>
      <c r="G45">
        <v>135</v>
      </c>
      <c r="H45" s="9">
        <v>10844</v>
      </c>
      <c r="L45">
        <v>20</v>
      </c>
      <c r="M45" s="9">
        <v>10844</v>
      </c>
    </row>
    <row r="46" spans="1:13" x14ac:dyDescent="0.35">
      <c r="A46">
        <v>43</v>
      </c>
      <c r="B46" s="8">
        <v>39508</v>
      </c>
      <c r="C46" t="s">
        <v>51</v>
      </c>
      <c r="D46">
        <v>83</v>
      </c>
      <c r="E46">
        <v>1989</v>
      </c>
      <c r="F46">
        <v>19</v>
      </c>
      <c r="G46">
        <v>207.1</v>
      </c>
      <c r="H46" s="9">
        <v>11193</v>
      </c>
      <c r="L46">
        <v>19</v>
      </c>
      <c r="M46" s="9">
        <v>11193</v>
      </c>
    </row>
    <row r="47" spans="1:13" x14ac:dyDescent="0.35">
      <c r="A47">
        <v>44</v>
      </c>
      <c r="B47" s="8">
        <v>39508</v>
      </c>
      <c r="C47" t="s">
        <v>52</v>
      </c>
      <c r="D47">
        <v>25</v>
      </c>
      <c r="E47">
        <v>1982</v>
      </c>
      <c r="F47">
        <v>26</v>
      </c>
      <c r="G47">
        <v>137</v>
      </c>
      <c r="H47" s="9">
        <v>11193</v>
      </c>
      <c r="L47">
        <v>26</v>
      </c>
      <c r="M47" s="9">
        <v>11193</v>
      </c>
    </row>
    <row r="48" spans="1:13" x14ac:dyDescent="0.35">
      <c r="A48">
        <v>45</v>
      </c>
      <c r="B48" s="8">
        <v>39508</v>
      </c>
      <c r="C48" t="s">
        <v>53</v>
      </c>
      <c r="D48">
        <v>135</v>
      </c>
      <c r="E48">
        <v>1999</v>
      </c>
      <c r="F48">
        <v>9</v>
      </c>
      <c r="G48">
        <v>171.7</v>
      </c>
      <c r="H48" s="9">
        <v>11193</v>
      </c>
      <c r="L48">
        <v>9</v>
      </c>
      <c r="M48" s="9">
        <v>11193</v>
      </c>
    </row>
    <row r="49" spans="1:13" x14ac:dyDescent="0.35">
      <c r="A49">
        <v>46</v>
      </c>
      <c r="B49" s="8">
        <v>39539</v>
      </c>
      <c r="C49" t="s">
        <v>54</v>
      </c>
      <c r="D49">
        <v>158</v>
      </c>
      <c r="E49">
        <v>2004</v>
      </c>
      <c r="F49">
        <v>4</v>
      </c>
      <c r="G49">
        <v>170</v>
      </c>
      <c r="H49" s="9">
        <v>11614</v>
      </c>
      <c r="L49">
        <v>4</v>
      </c>
      <c r="M49" s="9">
        <v>11614</v>
      </c>
    </row>
    <row r="50" spans="1:13" x14ac:dyDescent="0.35">
      <c r="A50">
        <v>47</v>
      </c>
      <c r="B50" s="8">
        <v>39569</v>
      </c>
      <c r="C50" t="s">
        <v>55</v>
      </c>
      <c r="D50">
        <v>87.2</v>
      </c>
      <c r="E50">
        <v>1993</v>
      </c>
      <c r="F50">
        <v>15</v>
      </c>
      <c r="G50">
        <v>161.5</v>
      </c>
      <c r="H50" s="9">
        <v>12479</v>
      </c>
      <c r="L50">
        <v>15</v>
      </c>
      <c r="M50" s="9">
        <v>12479</v>
      </c>
    </row>
    <row r="51" spans="1:13" x14ac:dyDescent="0.35">
      <c r="A51">
        <v>48</v>
      </c>
      <c r="B51" s="8">
        <v>39569</v>
      </c>
      <c r="C51" t="s">
        <v>56</v>
      </c>
      <c r="D51">
        <v>82</v>
      </c>
      <c r="E51">
        <v>1990</v>
      </c>
      <c r="F51">
        <v>18</v>
      </c>
      <c r="G51">
        <v>145.4</v>
      </c>
      <c r="H51" s="9">
        <v>12479</v>
      </c>
      <c r="L51">
        <v>18</v>
      </c>
      <c r="M51" s="9">
        <v>12479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682B-4950-4EE4-8671-002AA16D554B}">
  <dimension ref="B4:J45"/>
  <sheetViews>
    <sheetView topLeftCell="A20" zoomScale="80" zoomScaleNormal="80" workbookViewId="0">
      <selection activeCell="C45" sqref="C45"/>
    </sheetView>
  </sheetViews>
  <sheetFormatPr baseColWidth="10" defaultRowHeight="14.5" x14ac:dyDescent="0.35"/>
  <cols>
    <col min="2" max="2" width="30.36328125" customWidth="1"/>
    <col min="3" max="3" width="16.54296875" customWidth="1"/>
    <col min="4" max="4" width="18.36328125" customWidth="1"/>
    <col min="5" max="5" width="24.6328125" customWidth="1"/>
    <col min="6" max="6" width="11.81640625" bestFit="1" customWidth="1"/>
    <col min="7" max="7" width="15" bestFit="1" customWidth="1"/>
    <col min="8" max="8" width="12.453125" bestFit="1" customWidth="1"/>
    <col min="9" max="9" width="13" bestFit="1" customWidth="1"/>
    <col min="10" max="10" width="13.7265625" bestFit="1" customWidth="1"/>
  </cols>
  <sheetData>
    <row r="4" spans="2:7" x14ac:dyDescent="0.35">
      <c r="B4" s="31" t="s">
        <v>57</v>
      </c>
      <c r="C4" s="33"/>
    </row>
    <row r="5" spans="2:7" x14ac:dyDescent="0.35">
      <c r="B5" s="10" t="s">
        <v>58</v>
      </c>
      <c r="C5" s="10">
        <v>0.95939317205635888</v>
      </c>
    </row>
    <row r="6" spans="2:7" x14ac:dyDescent="0.35">
      <c r="B6" s="10" t="s">
        <v>59</v>
      </c>
      <c r="C6" s="10">
        <v>0.92043525858836228</v>
      </c>
    </row>
    <row r="7" spans="2:7" x14ac:dyDescent="0.35">
      <c r="B7" s="10" t="s">
        <v>60</v>
      </c>
      <c r="C7" s="10">
        <v>0.91501038985575067</v>
      </c>
    </row>
    <row r="8" spans="2:7" x14ac:dyDescent="0.35">
      <c r="B8" s="10" t="s">
        <v>61</v>
      </c>
      <c r="C8" s="10">
        <v>9.8815097131997618</v>
      </c>
    </row>
    <row r="9" spans="2:7" x14ac:dyDescent="0.35">
      <c r="B9" s="10" t="s">
        <v>62</v>
      </c>
      <c r="C9" s="10">
        <v>48</v>
      </c>
    </row>
    <row r="11" spans="2:7" x14ac:dyDescent="0.35">
      <c r="B11" s="31" t="s">
        <v>63</v>
      </c>
      <c r="C11" s="32"/>
      <c r="D11" s="32"/>
      <c r="E11" s="32"/>
      <c r="F11" s="32"/>
      <c r="G11" s="33"/>
    </row>
    <row r="12" spans="2:7" x14ac:dyDescent="0.35">
      <c r="B12" s="12" t="s">
        <v>81</v>
      </c>
      <c r="C12" s="12" t="s">
        <v>68</v>
      </c>
      <c r="D12" s="12" t="s">
        <v>69</v>
      </c>
      <c r="E12" s="12" t="s">
        <v>70</v>
      </c>
      <c r="F12" s="12" t="s">
        <v>71</v>
      </c>
      <c r="G12" s="12" t="s">
        <v>72</v>
      </c>
    </row>
    <row r="13" spans="2:7" x14ac:dyDescent="0.35">
      <c r="B13" s="10" t="s">
        <v>64</v>
      </c>
      <c r="C13" s="10">
        <v>3</v>
      </c>
      <c r="D13" s="10">
        <v>49701.771819669295</v>
      </c>
      <c r="E13" s="10">
        <v>16567.257273223098</v>
      </c>
      <c r="F13" s="10">
        <v>169.66959090736228</v>
      </c>
      <c r="G13" s="10">
        <v>3.3855077236808621E-24</v>
      </c>
    </row>
    <row r="14" spans="2:7" x14ac:dyDescent="0.35">
      <c r="B14" s="10" t="s">
        <v>65</v>
      </c>
      <c r="C14" s="10">
        <v>44</v>
      </c>
      <c r="D14" s="10">
        <v>4296.3463053306941</v>
      </c>
      <c r="E14" s="10">
        <v>97.644234212061235</v>
      </c>
      <c r="F14" s="10"/>
      <c r="G14" s="10"/>
    </row>
    <row r="15" spans="2:7" x14ac:dyDescent="0.35">
      <c r="B15" s="10" t="s">
        <v>66</v>
      </c>
      <c r="C15" s="10">
        <v>47</v>
      </c>
      <c r="D15" s="10">
        <v>53998.118124999986</v>
      </c>
      <c r="E15" s="10"/>
      <c r="F15" s="10"/>
      <c r="G15" s="10"/>
    </row>
    <row r="17" spans="2:10" x14ac:dyDescent="0.35">
      <c r="B17" s="13" t="s">
        <v>81</v>
      </c>
      <c r="C17" s="13" t="s">
        <v>73</v>
      </c>
      <c r="D17" s="13" t="s">
        <v>61</v>
      </c>
      <c r="E17" s="13" t="s">
        <v>74</v>
      </c>
      <c r="F17" s="13" t="s">
        <v>75</v>
      </c>
      <c r="G17" s="13" t="s">
        <v>76</v>
      </c>
      <c r="H17" s="13" t="s">
        <v>77</v>
      </c>
      <c r="I17" s="13" t="s">
        <v>78</v>
      </c>
      <c r="J17" s="13" t="s">
        <v>79</v>
      </c>
    </row>
    <row r="18" spans="2:10" x14ac:dyDescent="0.35">
      <c r="B18" s="10" t="s">
        <v>67</v>
      </c>
      <c r="C18" s="10">
        <v>44.225549982527262</v>
      </c>
      <c r="D18" s="10">
        <v>16.383214304262189</v>
      </c>
      <c r="E18" s="10">
        <v>2.6994428053731632</v>
      </c>
      <c r="F18" s="10">
        <v>9.8176644271401707E-3</v>
      </c>
      <c r="G18" s="10">
        <v>11.207351108553979</v>
      </c>
      <c r="H18" s="10">
        <v>77.243748856500545</v>
      </c>
      <c r="I18" s="10">
        <v>11.207351108553979</v>
      </c>
      <c r="J18" s="10">
        <v>77.243748856500545</v>
      </c>
    </row>
    <row r="19" spans="2:10" x14ac:dyDescent="0.35">
      <c r="B19" s="10" t="s">
        <v>90</v>
      </c>
      <c r="C19" s="10">
        <v>-4.5438039222128861</v>
      </c>
      <c r="D19" s="10">
        <v>0.26146925749252409</v>
      </c>
      <c r="E19" s="10">
        <v>-17.377966212118846</v>
      </c>
      <c r="F19" s="10">
        <v>2.5256580835726477E-21</v>
      </c>
      <c r="G19" s="10">
        <v>-5.0707605854772062</v>
      </c>
      <c r="H19" s="10">
        <v>-4.016847258948566</v>
      </c>
      <c r="I19" s="10">
        <v>-5.0707605854772062</v>
      </c>
      <c r="J19" s="10">
        <v>-4.016847258948566</v>
      </c>
    </row>
    <row r="20" spans="2:10" x14ac:dyDescent="0.35">
      <c r="B20" s="10" t="s">
        <v>9</v>
      </c>
      <c r="C20" s="10">
        <v>0.24215462271370267</v>
      </c>
      <c r="D20" s="10">
        <v>9.1615978874896031E-2</v>
      </c>
      <c r="E20" s="10">
        <v>2.6431483425437281</v>
      </c>
      <c r="F20" s="10">
        <v>1.1336764832037572E-2</v>
      </c>
      <c r="G20" s="10">
        <v>5.7514749588312236E-2</v>
      </c>
      <c r="H20" s="10">
        <v>0.42679449583909312</v>
      </c>
      <c r="I20" s="10">
        <v>5.7514749588312236E-2</v>
      </c>
      <c r="J20" s="10">
        <v>0.42679449583909312</v>
      </c>
    </row>
    <row r="21" spans="2:10" x14ac:dyDescent="0.35">
      <c r="B21" s="10" t="s">
        <v>10</v>
      </c>
      <c r="C21" s="10">
        <v>7.2069236854219784E-3</v>
      </c>
      <c r="D21" s="10">
        <v>5.9806013499490087E-4</v>
      </c>
      <c r="E21" s="10">
        <v>12.050500047931511</v>
      </c>
      <c r="F21" s="10">
        <v>1.568052214094174E-15</v>
      </c>
      <c r="G21" s="10">
        <v>6.0016126817857944E-3</v>
      </c>
      <c r="H21" s="10">
        <v>8.4122346890581623E-3</v>
      </c>
      <c r="I21" s="10">
        <v>6.0016126817857944E-3</v>
      </c>
      <c r="J21" s="10">
        <v>8.4122346890581623E-3</v>
      </c>
    </row>
    <row r="22" spans="2:10" x14ac:dyDescent="0.35">
      <c r="B22" s="15"/>
      <c r="C22" s="15"/>
      <c r="D22" s="15"/>
      <c r="E22" s="15"/>
      <c r="F22" s="15"/>
      <c r="G22" s="15"/>
      <c r="H22" s="15"/>
      <c r="I22" s="15"/>
      <c r="J22" s="15"/>
    </row>
    <row r="23" spans="2:10" x14ac:dyDescent="0.35">
      <c r="B23" s="21" t="s">
        <v>84</v>
      </c>
      <c r="C23" s="15"/>
      <c r="D23" s="15"/>
      <c r="E23" s="15"/>
      <c r="F23" s="15"/>
      <c r="G23" s="15"/>
      <c r="H23" s="15"/>
      <c r="I23" s="15"/>
      <c r="J23" s="15"/>
    </row>
    <row r="24" spans="2:10" x14ac:dyDescent="0.35">
      <c r="B24" s="19" t="s">
        <v>85</v>
      </c>
      <c r="C24" s="15"/>
      <c r="D24" s="15"/>
      <c r="E24" s="15"/>
      <c r="F24" s="15"/>
      <c r="G24" s="15"/>
      <c r="H24" s="15"/>
      <c r="I24" s="15"/>
      <c r="J24" s="15"/>
    </row>
    <row r="25" spans="2:10" x14ac:dyDescent="0.35">
      <c r="B25" s="10" t="s">
        <v>86</v>
      </c>
      <c r="C25" s="15"/>
      <c r="D25" s="15"/>
      <c r="E25" s="15"/>
      <c r="F25" s="15"/>
      <c r="G25" s="15"/>
      <c r="H25" s="15"/>
      <c r="I25" s="15"/>
      <c r="J25" s="15"/>
    </row>
    <row r="26" spans="2:10" x14ac:dyDescent="0.35">
      <c r="B26" s="10" t="s">
        <v>87</v>
      </c>
      <c r="C26" s="15"/>
      <c r="D26" s="15"/>
      <c r="E26" s="15"/>
      <c r="F26" s="15"/>
      <c r="G26" s="15"/>
      <c r="H26" s="15"/>
      <c r="I26" s="15"/>
      <c r="J26" s="15"/>
    </row>
    <row r="27" spans="2:10" x14ac:dyDescent="0.35">
      <c r="B27" s="15"/>
      <c r="C27" s="15"/>
      <c r="D27" s="15"/>
      <c r="E27" s="15"/>
      <c r="F27" s="15"/>
      <c r="G27" s="15"/>
      <c r="H27" s="15"/>
      <c r="I27" s="15"/>
      <c r="J27" s="15"/>
    </row>
    <row r="28" spans="2:10" x14ac:dyDescent="0.35">
      <c r="B28" s="21" t="s">
        <v>88</v>
      </c>
      <c r="C28" s="20"/>
      <c r="D28" s="15"/>
      <c r="E28" s="15"/>
      <c r="F28" s="15"/>
      <c r="G28" s="15"/>
      <c r="H28" s="15"/>
      <c r="I28" s="15"/>
      <c r="J28" s="15"/>
    </row>
    <row r="29" spans="2:10" x14ac:dyDescent="0.35">
      <c r="B29" s="19" t="s">
        <v>89</v>
      </c>
      <c r="C29" s="18"/>
      <c r="D29" s="15"/>
      <c r="E29" s="15"/>
      <c r="F29" s="15"/>
      <c r="G29" s="15"/>
      <c r="H29" s="15"/>
      <c r="I29" s="15"/>
      <c r="J29" s="15"/>
    </row>
    <row r="31" spans="2:10" x14ac:dyDescent="0.35">
      <c r="B31" s="29" t="s">
        <v>80</v>
      </c>
      <c r="C31" s="30"/>
    </row>
    <row r="32" spans="2:10" x14ac:dyDescent="0.35">
      <c r="B32" s="10" t="s">
        <v>91</v>
      </c>
      <c r="C32" s="10">
        <v>11</v>
      </c>
    </row>
    <row r="33" spans="2:3" x14ac:dyDescent="0.35">
      <c r="B33" s="10" t="s">
        <v>92</v>
      </c>
      <c r="C33" s="10">
        <v>172</v>
      </c>
    </row>
    <row r="34" spans="2:3" x14ac:dyDescent="0.35">
      <c r="B34" s="10" t="s">
        <v>93</v>
      </c>
      <c r="C34" s="11">
        <v>12479</v>
      </c>
    </row>
    <row r="35" spans="2:3" x14ac:dyDescent="0.35">
      <c r="B35" s="15"/>
      <c r="C35" s="16"/>
    </row>
    <row r="36" spans="2:3" x14ac:dyDescent="0.35">
      <c r="B36" s="34" t="s">
        <v>83</v>
      </c>
      <c r="C36" s="34"/>
    </row>
    <row r="37" spans="2:3" x14ac:dyDescent="0.35">
      <c r="B37" s="17" t="s">
        <v>82</v>
      </c>
      <c r="C37" s="17" t="s">
        <v>73</v>
      </c>
    </row>
    <row r="38" spans="2:3" x14ac:dyDescent="0.35">
      <c r="B38" s="10" t="s">
        <v>94</v>
      </c>
      <c r="C38" s="14">
        <v>44.225549982527262</v>
      </c>
    </row>
    <row r="39" spans="2:3" x14ac:dyDescent="0.35">
      <c r="B39" s="10" t="s">
        <v>90</v>
      </c>
      <c r="C39" s="14">
        <v>-4.5438039222128861</v>
      </c>
    </row>
    <row r="40" spans="2:3" x14ac:dyDescent="0.35">
      <c r="B40" s="10" t="s">
        <v>9</v>
      </c>
      <c r="C40" s="14">
        <v>0.24215462271370267</v>
      </c>
    </row>
    <row r="41" spans="2:3" x14ac:dyDescent="0.35">
      <c r="B41" s="10" t="s">
        <v>10</v>
      </c>
      <c r="C41" s="14">
        <v>7.2069236854219784E-3</v>
      </c>
    </row>
    <row r="43" spans="2:3" x14ac:dyDescent="0.35">
      <c r="B43" s="23" t="s">
        <v>95</v>
      </c>
    </row>
    <row r="45" spans="2:3" x14ac:dyDescent="0.35">
      <c r="B45" s="22" t="s">
        <v>96</v>
      </c>
      <c r="C45" s="26">
        <f>C38+(C39*C32)+(C40*C33)+(C41*C34)</f>
        <v>125.82950261532324</v>
      </c>
    </row>
  </sheetData>
  <mergeCells count="4">
    <mergeCell ref="B31:C31"/>
    <mergeCell ref="B11:G11"/>
    <mergeCell ref="B4:C4"/>
    <mergeCell ref="B36:C36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271D6-1A05-491C-B653-CAA6C7C9BBB6}">
  <dimension ref="A3:J42"/>
  <sheetViews>
    <sheetView tabSelected="1" zoomScale="76" zoomScaleNormal="80" workbookViewId="0">
      <selection activeCell="I26" sqref="I26"/>
    </sheetView>
  </sheetViews>
  <sheetFormatPr baseColWidth="10" defaultRowHeight="14.5" x14ac:dyDescent="0.35"/>
  <cols>
    <col min="2" max="2" width="30.1796875" customWidth="1"/>
    <col min="3" max="3" width="17.26953125" customWidth="1"/>
    <col min="4" max="4" width="18.08984375" bestFit="1" customWidth="1"/>
    <col min="5" max="5" width="24.54296875" bestFit="1" customWidth="1"/>
    <col min="6" max="6" width="12.26953125" bestFit="1" customWidth="1"/>
    <col min="7" max="7" width="15.1796875" customWidth="1"/>
    <col min="8" max="9" width="12.90625" bestFit="1" customWidth="1"/>
    <col min="10" max="10" width="13.81640625" bestFit="1" customWidth="1"/>
  </cols>
  <sheetData>
    <row r="3" spans="2:10" x14ac:dyDescent="0.35">
      <c r="B3" s="31" t="s">
        <v>57</v>
      </c>
      <c r="C3" s="33"/>
    </row>
    <row r="4" spans="2:10" x14ac:dyDescent="0.35">
      <c r="B4" s="10" t="s">
        <v>58</v>
      </c>
      <c r="C4" s="10">
        <v>0.81107662941031711</v>
      </c>
    </row>
    <row r="5" spans="2:10" x14ac:dyDescent="0.35">
      <c r="B5" s="10" t="s">
        <v>59</v>
      </c>
      <c r="C5" s="10">
        <v>0.65784529877560094</v>
      </c>
    </row>
    <row r="6" spans="2:10" x14ac:dyDescent="0.35">
      <c r="B6" s="10" t="s">
        <v>60</v>
      </c>
      <c r="C6" s="10">
        <v>0.64263842316562758</v>
      </c>
    </row>
    <row r="7" spans="2:10" x14ac:dyDescent="0.35">
      <c r="B7" s="10" t="s">
        <v>61</v>
      </c>
      <c r="C7" s="10">
        <v>20.262559876524968</v>
      </c>
    </row>
    <row r="8" spans="2:10" x14ac:dyDescent="0.35">
      <c r="B8" s="10" t="s">
        <v>62</v>
      </c>
      <c r="C8" s="10">
        <v>48</v>
      </c>
    </row>
    <row r="10" spans="2:10" x14ac:dyDescent="0.35">
      <c r="B10" s="31" t="s">
        <v>63</v>
      </c>
      <c r="C10" s="32"/>
      <c r="D10" s="32"/>
      <c r="E10" s="32"/>
      <c r="F10" s="32"/>
      <c r="G10" s="33"/>
    </row>
    <row r="11" spans="2:10" x14ac:dyDescent="0.35">
      <c r="B11" s="12" t="s">
        <v>97</v>
      </c>
      <c r="C11" s="12" t="s">
        <v>68</v>
      </c>
      <c r="D11" s="12" t="s">
        <v>69</v>
      </c>
      <c r="E11" s="12" t="s">
        <v>70</v>
      </c>
      <c r="F11" s="12" t="s">
        <v>71</v>
      </c>
      <c r="G11" s="12" t="s">
        <v>72</v>
      </c>
    </row>
    <row r="12" spans="2:10" x14ac:dyDescent="0.35">
      <c r="B12" s="10" t="s">
        <v>64</v>
      </c>
      <c r="C12" s="10">
        <v>2</v>
      </c>
      <c r="D12" s="10">
        <v>35522.40815126081</v>
      </c>
      <c r="E12" s="10">
        <v>17761.204075630405</v>
      </c>
      <c r="F12" s="10">
        <v>43.259727747372317</v>
      </c>
      <c r="G12" s="10">
        <v>3.3113608593903057E-11</v>
      </c>
    </row>
    <row r="13" spans="2:10" x14ac:dyDescent="0.35">
      <c r="B13" s="10" t="s">
        <v>65</v>
      </c>
      <c r="C13" s="10">
        <v>45</v>
      </c>
      <c r="D13" s="10">
        <v>18475.70997373918</v>
      </c>
      <c r="E13" s="10">
        <v>410.57133274975956</v>
      </c>
      <c r="F13" s="10"/>
      <c r="G13" s="10"/>
    </row>
    <row r="14" spans="2:10" x14ac:dyDescent="0.35">
      <c r="B14" s="10" t="s">
        <v>66</v>
      </c>
      <c r="C14" s="10">
        <v>47</v>
      </c>
      <c r="D14" s="10">
        <v>53998.118124999994</v>
      </c>
      <c r="E14" s="10"/>
      <c r="F14" s="10"/>
      <c r="G14" s="10"/>
    </row>
    <row r="16" spans="2:10" x14ac:dyDescent="0.35">
      <c r="B16" s="13" t="s">
        <v>97</v>
      </c>
      <c r="C16" s="13" t="s">
        <v>73</v>
      </c>
      <c r="D16" s="13" t="s">
        <v>61</v>
      </c>
      <c r="E16" s="13" t="s">
        <v>74</v>
      </c>
      <c r="F16" s="13" t="s">
        <v>75</v>
      </c>
      <c r="G16" s="13" t="s">
        <v>76</v>
      </c>
      <c r="H16" s="13" t="s">
        <v>77</v>
      </c>
      <c r="I16" s="13" t="s">
        <v>78</v>
      </c>
      <c r="J16" s="13" t="s">
        <v>79</v>
      </c>
    </row>
    <row r="17" spans="1:10" x14ac:dyDescent="0.35">
      <c r="B17" s="10" t="s">
        <v>67</v>
      </c>
      <c r="C17" s="10">
        <v>60.352056757572356</v>
      </c>
      <c r="D17" s="10">
        <v>33.482386542044559</v>
      </c>
      <c r="E17" s="10">
        <v>1.8025016431187475</v>
      </c>
      <c r="F17" s="10">
        <v>7.8166370007163186E-2</v>
      </c>
      <c r="G17" s="10">
        <v>-7.0849314445780038</v>
      </c>
      <c r="H17" s="10">
        <v>127.78904495972272</v>
      </c>
      <c r="I17" s="10">
        <v>-7.0849314445780038</v>
      </c>
      <c r="J17" s="10">
        <v>127.78904495972272</v>
      </c>
    </row>
    <row r="18" spans="1:10" x14ac:dyDescent="0.35">
      <c r="B18" s="10" t="s">
        <v>8</v>
      </c>
      <c r="C18" s="10">
        <v>-3.719554072568251</v>
      </c>
      <c r="D18" s="10">
        <v>0.5174860685698851</v>
      </c>
      <c r="E18" s="10">
        <v>-7.1877376000624356</v>
      </c>
      <c r="F18" s="10">
        <v>5.3716498641562202E-9</v>
      </c>
      <c r="G18" s="10">
        <v>-4.7618245169734825</v>
      </c>
      <c r="H18" s="10">
        <v>-2.6772836281630195</v>
      </c>
      <c r="I18" s="10">
        <v>-4.7618245169734825</v>
      </c>
      <c r="J18" s="10">
        <v>-2.6772836281630195</v>
      </c>
    </row>
    <row r="19" spans="1:10" x14ac:dyDescent="0.35">
      <c r="B19" s="10" t="s">
        <v>9</v>
      </c>
      <c r="C19" s="10">
        <v>0.41328314899209306</v>
      </c>
      <c r="D19" s="10">
        <v>0.18559284413973495</v>
      </c>
      <c r="E19" s="10">
        <v>2.2268269604237947</v>
      </c>
      <c r="F19" s="10">
        <v>3.1007066626405882E-2</v>
      </c>
      <c r="G19" s="10">
        <v>3.9479972658218287E-2</v>
      </c>
      <c r="H19" s="10">
        <v>0.78708632532596789</v>
      </c>
      <c r="I19" s="10">
        <v>3.9479972658218287E-2</v>
      </c>
      <c r="J19" s="10">
        <v>0.78708632532596789</v>
      </c>
    </row>
    <row r="20" spans="1:10" s="15" customFormat="1" x14ac:dyDescent="0.35">
      <c r="A20"/>
    </row>
    <row r="21" spans="1:10" x14ac:dyDescent="0.35">
      <c r="B21" s="21" t="s">
        <v>84</v>
      </c>
      <c r="C21" s="15"/>
    </row>
    <row r="22" spans="1:10" x14ac:dyDescent="0.35">
      <c r="B22" s="19" t="s">
        <v>85</v>
      </c>
      <c r="C22" s="15"/>
    </row>
    <row r="23" spans="1:10" x14ac:dyDescent="0.35">
      <c r="B23" s="10" t="s">
        <v>86</v>
      </c>
      <c r="C23" s="15"/>
    </row>
    <row r="24" spans="1:10" x14ac:dyDescent="0.35">
      <c r="B24" s="15"/>
      <c r="C24" s="15"/>
    </row>
    <row r="25" spans="1:10" x14ac:dyDescent="0.35">
      <c r="B25" s="15"/>
      <c r="C25" s="15"/>
    </row>
    <row r="26" spans="1:10" x14ac:dyDescent="0.35">
      <c r="B26" s="21" t="s">
        <v>88</v>
      </c>
      <c r="C26" s="20"/>
    </row>
    <row r="27" spans="1:10" x14ac:dyDescent="0.35">
      <c r="B27" s="19" t="s">
        <v>89</v>
      </c>
      <c r="C27" s="18"/>
    </row>
    <row r="29" spans="1:10" x14ac:dyDescent="0.35">
      <c r="B29" s="29" t="s">
        <v>80</v>
      </c>
      <c r="C29" s="30"/>
    </row>
    <row r="30" spans="1:10" x14ac:dyDescent="0.35">
      <c r="B30" s="10" t="s">
        <v>91</v>
      </c>
      <c r="C30" s="10">
        <v>11</v>
      </c>
    </row>
    <row r="31" spans="1:10" x14ac:dyDescent="0.35">
      <c r="B31" s="10" t="s">
        <v>92</v>
      </c>
      <c r="C31" s="10">
        <v>172</v>
      </c>
    </row>
    <row r="32" spans="1:10" x14ac:dyDescent="0.35">
      <c r="B32" s="15"/>
      <c r="C32" s="16"/>
    </row>
    <row r="33" spans="2:3" x14ac:dyDescent="0.35">
      <c r="B33" s="15"/>
      <c r="C33" s="16"/>
    </row>
    <row r="34" spans="2:3" x14ac:dyDescent="0.35">
      <c r="B34" s="34" t="s">
        <v>83</v>
      </c>
      <c r="C34" s="34"/>
    </row>
    <row r="35" spans="2:3" x14ac:dyDescent="0.35">
      <c r="B35" s="17" t="s">
        <v>82</v>
      </c>
      <c r="C35" s="17" t="s">
        <v>73</v>
      </c>
    </row>
    <row r="36" spans="2:3" x14ac:dyDescent="0.35">
      <c r="B36" s="10" t="s">
        <v>94</v>
      </c>
      <c r="C36" s="14">
        <v>60.352056757572356</v>
      </c>
    </row>
    <row r="37" spans="2:3" x14ac:dyDescent="0.35">
      <c r="B37" s="10" t="s">
        <v>90</v>
      </c>
      <c r="C37" s="14">
        <v>-3.719554072568251</v>
      </c>
    </row>
    <row r="38" spans="2:3" x14ac:dyDescent="0.35">
      <c r="B38" s="10" t="s">
        <v>9</v>
      </c>
      <c r="C38" s="14">
        <v>0.41328314899209306</v>
      </c>
    </row>
    <row r="39" spans="2:3" x14ac:dyDescent="0.35">
      <c r="B39" s="15"/>
      <c r="C39" s="25"/>
    </row>
    <row r="41" spans="2:3" x14ac:dyDescent="0.35">
      <c r="B41" s="23" t="s">
        <v>98</v>
      </c>
    </row>
    <row r="42" spans="2:3" x14ac:dyDescent="0.35">
      <c r="B42" s="22" t="s">
        <v>96</v>
      </c>
      <c r="C42" s="26">
        <f>C36+(C37*C30)+(C38*C31)</f>
        <v>90.521663585961605</v>
      </c>
    </row>
  </sheetData>
  <mergeCells count="4">
    <mergeCell ref="B34:C34"/>
    <mergeCell ref="B3:C3"/>
    <mergeCell ref="B10:G10"/>
    <mergeCell ref="B29:C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C5C1-34B2-40D6-9C05-D38F726FFCBA}">
  <dimension ref="B3:J42"/>
  <sheetViews>
    <sheetView topLeftCell="A27" workbookViewId="0">
      <selection activeCell="C7" sqref="C7"/>
    </sheetView>
  </sheetViews>
  <sheetFormatPr baseColWidth="10" defaultRowHeight="14.5" x14ac:dyDescent="0.35"/>
  <cols>
    <col min="2" max="2" width="29.90625" bestFit="1" customWidth="1"/>
    <col min="3" max="3" width="16.453125" bestFit="1" customWidth="1"/>
    <col min="4" max="4" width="17.26953125" bestFit="1" customWidth="1"/>
    <col min="5" max="5" width="23.7265625" bestFit="1" customWidth="1"/>
    <col min="6" max="6" width="11.81640625" bestFit="1" customWidth="1"/>
    <col min="7" max="7" width="14.7265625" bestFit="1" customWidth="1"/>
  </cols>
  <sheetData>
    <row r="3" spans="2:10" x14ac:dyDescent="0.35">
      <c r="B3" s="31" t="s">
        <v>57</v>
      </c>
      <c r="C3" s="33"/>
    </row>
    <row r="4" spans="2:10" x14ac:dyDescent="0.35">
      <c r="B4" s="10" t="s">
        <v>58</v>
      </c>
      <c r="C4" s="10">
        <v>0.95278650598003256</v>
      </c>
    </row>
    <row r="5" spans="2:10" x14ac:dyDescent="0.35">
      <c r="B5" s="10" t="s">
        <v>59</v>
      </c>
      <c r="C5" s="10">
        <v>0.90780212597763854</v>
      </c>
    </row>
    <row r="6" spans="2:10" x14ac:dyDescent="0.35">
      <c r="B6" s="10" t="s">
        <v>60</v>
      </c>
      <c r="C6" s="10">
        <v>0.90370444268775585</v>
      </c>
    </row>
    <row r="7" spans="2:10" x14ac:dyDescent="0.35">
      <c r="B7" s="10" t="s">
        <v>61</v>
      </c>
      <c r="C7" s="10">
        <v>10.518250480139892</v>
      </c>
    </row>
    <row r="8" spans="2:10" x14ac:dyDescent="0.35">
      <c r="B8" s="10" t="s">
        <v>62</v>
      </c>
      <c r="C8" s="10">
        <v>48</v>
      </c>
    </row>
    <row r="10" spans="2:10" x14ac:dyDescent="0.35">
      <c r="B10" s="31" t="s">
        <v>63</v>
      </c>
      <c r="C10" s="32"/>
      <c r="D10" s="32"/>
      <c r="E10" s="32"/>
      <c r="F10" s="32"/>
      <c r="G10" s="33"/>
    </row>
    <row r="11" spans="2:10" x14ac:dyDescent="0.35">
      <c r="B11" s="12" t="s">
        <v>81</v>
      </c>
      <c r="C11" s="12" t="s">
        <v>68</v>
      </c>
      <c r="D11" s="12" t="s">
        <v>69</v>
      </c>
      <c r="E11" s="12" t="s">
        <v>70</v>
      </c>
      <c r="F11" s="12" t="s">
        <v>71</v>
      </c>
      <c r="G11" s="12" t="s">
        <v>72</v>
      </c>
    </row>
    <row r="12" spans="2:10" x14ac:dyDescent="0.35">
      <c r="B12" s="10" t="s">
        <v>64</v>
      </c>
      <c r="C12" s="10">
        <v>2</v>
      </c>
      <c r="D12" s="10">
        <v>49019.606432666646</v>
      </c>
      <c r="E12" s="10">
        <v>24509.803216333323</v>
      </c>
      <c r="F12" s="10">
        <v>221.54033431988805</v>
      </c>
      <c r="G12" s="10">
        <v>5.0841739814077116E-24</v>
      </c>
    </row>
    <row r="13" spans="2:10" x14ac:dyDescent="0.35">
      <c r="B13" s="10" t="s">
        <v>65</v>
      </c>
      <c r="C13" s="10">
        <v>45</v>
      </c>
      <c r="D13" s="10">
        <v>4978.5116923333389</v>
      </c>
      <c r="E13" s="10">
        <v>110.63359316296308</v>
      </c>
      <c r="F13" s="10"/>
      <c r="G13" s="10"/>
    </row>
    <row r="14" spans="2:10" x14ac:dyDescent="0.35">
      <c r="B14" s="10" t="s">
        <v>66</v>
      </c>
      <c r="C14" s="10">
        <v>47</v>
      </c>
      <c r="D14" s="10">
        <v>53998.118124999986</v>
      </c>
      <c r="E14" s="10"/>
      <c r="F14" s="10"/>
      <c r="G14" s="10"/>
    </row>
    <row r="16" spans="2:10" x14ac:dyDescent="0.35">
      <c r="B16" s="13" t="s">
        <v>97</v>
      </c>
      <c r="C16" s="13" t="s">
        <v>73</v>
      </c>
      <c r="D16" s="13" t="s">
        <v>61</v>
      </c>
      <c r="E16" s="13" t="s">
        <v>74</v>
      </c>
      <c r="F16" s="13" t="s">
        <v>75</v>
      </c>
      <c r="G16" s="13" t="s">
        <v>76</v>
      </c>
      <c r="H16" s="13" t="s">
        <v>77</v>
      </c>
      <c r="I16" s="13" t="s">
        <v>78</v>
      </c>
      <c r="J16" s="13" t="s">
        <v>79</v>
      </c>
    </row>
    <row r="17" spans="2:10" x14ac:dyDescent="0.35">
      <c r="B17" s="10" t="s">
        <v>67</v>
      </c>
      <c r="C17" s="10">
        <v>85.29515714687831</v>
      </c>
      <c r="D17" s="10">
        <v>5.5285148696898876</v>
      </c>
      <c r="E17" s="10">
        <v>15.42822243537943</v>
      </c>
      <c r="F17" s="10">
        <v>1.3798772815828958E-19</v>
      </c>
      <c r="G17" s="10">
        <v>74.160156612357753</v>
      </c>
      <c r="H17" s="10">
        <v>96.430157681398867</v>
      </c>
      <c r="I17" s="10">
        <v>74.160156612357753</v>
      </c>
      <c r="J17" s="10">
        <v>96.430157681398867</v>
      </c>
    </row>
    <row r="18" spans="2:10" x14ac:dyDescent="0.35">
      <c r="B18" s="10" t="s">
        <v>8</v>
      </c>
      <c r="C18" s="10">
        <v>-4.8560190490318718</v>
      </c>
      <c r="D18" s="10">
        <v>0.24829763831179422</v>
      </c>
      <c r="E18" s="10">
        <v>-19.557250250338807</v>
      </c>
      <c r="F18" s="10">
        <v>1.2517907339541126E-23</v>
      </c>
      <c r="G18" s="10">
        <v>-5.3561161638067674</v>
      </c>
      <c r="H18" s="10">
        <v>-4.3559219342569762</v>
      </c>
      <c r="I18" s="10">
        <v>-5.3561161638067674</v>
      </c>
      <c r="J18" s="10">
        <v>-4.3559219342569762</v>
      </c>
    </row>
    <row r="19" spans="2:10" x14ac:dyDescent="0.35">
      <c r="B19" s="10" t="s">
        <v>10</v>
      </c>
      <c r="C19" s="10">
        <v>7.4519498758147326E-3</v>
      </c>
      <c r="D19" s="10">
        <v>6.2890356005177491E-4</v>
      </c>
      <c r="E19" s="10">
        <v>11.849113837424049</v>
      </c>
      <c r="F19" s="10">
        <v>1.9729253301322383E-15</v>
      </c>
      <c r="G19" s="10">
        <v>6.1852730842352245E-3</v>
      </c>
      <c r="H19" s="10">
        <v>8.7186266673942407E-3</v>
      </c>
      <c r="I19" s="10">
        <v>6.1852730842352245E-3</v>
      </c>
      <c r="J19" s="10">
        <v>8.7186266673942407E-3</v>
      </c>
    </row>
    <row r="21" spans="2:10" x14ac:dyDescent="0.35">
      <c r="B21" s="21" t="s">
        <v>84</v>
      </c>
      <c r="C21" s="15"/>
    </row>
    <row r="22" spans="2:10" x14ac:dyDescent="0.35">
      <c r="B22" s="19" t="s">
        <v>85</v>
      </c>
      <c r="C22" s="15"/>
    </row>
    <row r="23" spans="2:10" x14ac:dyDescent="0.35">
      <c r="B23" s="10" t="s">
        <v>101</v>
      </c>
      <c r="C23" s="15"/>
    </row>
    <row r="24" spans="2:10" x14ac:dyDescent="0.35">
      <c r="B24" s="15"/>
      <c r="C24" s="15"/>
    </row>
    <row r="25" spans="2:10" x14ac:dyDescent="0.35">
      <c r="B25" s="15"/>
      <c r="C25" s="15"/>
    </row>
    <row r="26" spans="2:10" x14ac:dyDescent="0.35">
      <c r="B26" s="21" t="s">
        <v>88</v>
      </c>
      <c r="C26" s="20"/>
    </row>
    <row r="27" spans="2:10" x14ac:dyDescent="0.35">
      <c r="B27" s="19" t="s">
        <v>89</v>
      </c>
      <c r="C27" s="18"/>
    </row>
    <row r="29" spans="2:10" x14ac:dyDescent="0.35">
      <c r="B29" s="29" t="s">
        <v>80</v>
      </c>
      <c r="C29" s="30"/>
    </row>
    <row r="30" spans="2:10" x14ac:dyDescent="0.35">
      <c r="B30" s="10" t="s">
        <v>91</v>
      </c>
      <c r="C30" s="10">
        <v>11</v>
      </c>
    </row>
    <row r="31" spans="2:10" x14ac:dyDescent="0.35">
      <c r="B31" s="10" t="s">
        <v>93</v>
      </c>
      <c r="C31" s="11">
        <v>12479</v>
      </c>
    </row>
    <row r="32" spans="2:10" x14ac:dyDescent="0.35">
      <c r="B32" s="15"/>
      <c r="C32" s="16"/>
    </row>
    <row r="33" spans="2:3" x14ac:dyDescent="0.35">
      <c r="B33" s="15"/>
      <c r="C33" s="16"/>
    </row>
    <row r="34" spans="2:3" x14ac:dyDescent="0.35">
      <c r="B34" s="34" t="s">
        <v>83</v>
      </c>
      <c r="C34" s="34"/>
    </row>
    <row r="35" spans="2:3" x14ac:dyDescent="0.35">
      <c r="B35" s="17" t="s">
        <v>82</v>
      </c>
      <c r="C35" s="17" t="s">
        <v>73</v>
      </c>
    </row>
    <row r="36" spans="2:3" x14ac:dyDescent="0.35">
      <c r="B36" s="10" t="s">
        <v>94</v>
      </c>
      <c r="C36" s="14">
        <v>85.29515714687831</v>
      </c>
    </row>
    <row r="37" spans="2:3" x14ac:dyDescent="0.35">
      <c r="B37" s="10" t="s">
        <v>8</v>
      </c>
      <c r="C37" s="14">
        <v>-4.8560190490318718</v>
      </c>
    </row>
    <row r="38" spans="2:3" x14ac:dyDescent="0.35">
      <c r="B38" s="10" t="s">
        <v>10</v>
      </c>
      <c r="C38" s="14">
        <v>7.4519498758147326E-3</v>
      </c>
    </row>
    <row r="41" spans="2:3" x14ac:dyDescent="0.35">
      <c r="B41" s="23" t="s">
        <v>99</v>
      </c>
    </row>
    <row r="42" spans="2:3" x14ac:dyDescent="0.35">
      <c r="B42" s="22" t="s">
        <v>96</v>
      </c>
      <c r="C42" s="26">
        <f>C36+(C37*C30)+(C38*C31)</f>
        <v>124.87183010781978</v>
      </c>
    </row>
  </sheetData>
  <mergeCells count="4">
    <mergeCell ref="B3:C3"/>
    <mergeCell ref="B10:G10"/>
    <mergeCell ref="B29:C29"/>
    <mergeCell ref="B34:C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5810F-D34B-4157-9053-FC8A7740EA95}">
  <dimension ref="B3:J42"/>
  <sheetViews>
    <sheetView topLeftCell="A12" zoomScale="81" workbookViewId="0">
      <selection activeCell="B21" sqref="B21:C38"/>
    </sheetView>
  </sheetViews>
  <sheetFormatPr baseColWidth="10" defaultRowHeight="14.5" x14ac:dyDescent="0.35"/>
  <cols>
    <col min="2" max="2" width="29.90625" bestFit="1" customWidth="1"/>
    <col min="3" max="3" width="16.6328125" bestFit="1" customWidth="1"/>
    <col min="4" max="4" width="17.36328125" bestFit="1" customWidth="1"/>
    <col min="5" max="5" width="23.453125" bestFit="1" customWidth="1"/>
    <col min="6" max="6" width="11.81640625" bestFit="1" customWidth="1"/>
    <col min="7" max="7" width="14.7265625" bestFit="1" customWidth="1"/>
    <col min="8" max="8" width="12.453125" bestFit="1" customWidth="1"/>
    <col min="9" max="9" width="12.54296875" bestFit="1" customWidth="1"/>
    <col min="10" max="10" width="13.36328125" bestFit="1" customWidth="1"/>
  </cols>
  <sheetData>
    <row r="3" spans="2:10" x14ac:dyDescent="0.35">
      <c r="B3" s="31" t="s">
        <v>57</v>
      </c>
      <c r="C3" s="33"/>
    </row>
    <row r="4" spans="2:10" x14ac:dyDescent="0.35">
      <c r="B4" s="10" t="s">
        <v>58</v>
      </c>
      <c r="C4" s="10">
        <v>0.6118359101189822</v>
      </c>
    </row>
    <row r="5" spans="2:10" x14ac:dyDescent="0.35">
      <c r="B5" s="10" t="s">
        <v>59</v>
      </c>
      <c r="C5" s="10">
        <v>0.37434318091112323</v>
      </c>
    </row>
    <row r="6" spans="2:10" x14ac:dyDescent="0.35">
      <c r="B6" s="10" t="s">
        <v>60</v>
      </c>
      <c r="C6" s="10">
        <v>0.34653621117383981</v>
      </c>
    </row>
    <row r="7" spans="2:10" x14ac:dyDescent="0.35">
      <c r="B7" s="10" t="s">
        <v>61</v>
      </c>
      <c r="C7" s="10">
        <v>27.400036830012926</v>
      </c>
    </row>
    <row r="8" spans="2:10" x14ac:dyDescent="0.35">
      <c r="B8" s="10" t="s">
        <v>62</v>
      </c>
      <c r="C8" s="10">
        <v>48</v>
      </c>
    </row>
    <row r="10" spans="2:10" x14ac:dyDescent="0.35">
      <c r="B10" s="31" t="s">
        <v>63</v>
      </c>
      <c r="C10" s="32"/>
      <c r="D10" s="32"/>
      <c r="E10" s="32"/>
      <c r="F10" s="32"/>
      <c r="G10" s="33"/>
    </row>
    <row r="11" spans="2:10" x14ac:dyDescent="0.35">
      <c r="B11" s="12" t="s">
        <v>100</v>
      </c>
      <c r="C11" s="12" t="s">
        <v>68</v>
      </c>
      <c r="D11" s="12" t="s">
        <v>69</v>
      </c>
      <c r="E11" s="12" t="s">
        <v>70</v>
      </c>
      <c r="F11" s="12" t="s">
        <v>71</v>
      </c>
      <c r="G11" s="12" t="s">
        <v>72</v>
      </c>
    </row>
    <row r="12" spans="2:10" x14ac:dyDescent="0.35">
      <c r="B12" s="10" t="s">
        <v>64</v>
      </c>
      <c r="C12" s="10">
        <v>2</v>
      </c>
      <c r="D12" s="10">
        <v>20213.827302127072</v>
      </c>
      <c r="E12" s="10">
        <v>10106.913651063536</v>
      </c>
      <c r="F12" s="10">
        <v>13.462206937608387</v>
      </c>
      <c r="G12" s="10">
        <v>2.6155564806695614E-5</v>
      </c>
    </row>
    <row r="13" spans="2:10" x14ac:dyDescent="0.35">
      <c r="B13" s="10" t="s">
        <v>65</v>
      </c>
      <c r="C13" s="10">
        <v>45</v>
      </c>
      <c r="D13" s="10">
        <v>33784.290822872914</v>
      </c>
      <c r="E13" s="10">
        <v>750.76201828606474</v>
      </c>
      <c r="F13" s="10"/>
      <c r="G13" s="10"/>
    </row>
    <row r="14" spans="2:10" x14ac:dyDescent="0.35">
      <c r="B14" s="10" t="s">
        <v>66</v>
      </c>
      <c r="C14" s="10">
        <v>47</v>
      </c>
      <c r="D14" s="10">
        <v>53998.118124999986</v>
      </c>
      <c r="E14" s="10"/>
      <c r="F14" s="10"/>
      <c r="G14" s="10"/>
    </row>
    <row r="16" spans="2:10" x14ac:dyDescent="0.35">
      <c r="B16" s="13" t="s">
        <v>97</v>
      </c>
      <c r="C16" s="13" t="s">
        <v>73</v>
      </c>
      <c r="D16" s="13" t="s">
        <v>61</v>
      </c>
      <c r="E16" s="13" t="s">
        <v>74</v>
      </c>
      <c r="F16" s="13" t="s">
        <v>75</v>
      </c>
      <c r="G16" s="13" t="s">
        <v>76</v>
      </c>
      <c r="H16" s="13" t="s">
        <v>77</v>
      </c>
      <c r="I16" s="13" t="s">
        <v>78</v>
      </c>
      <c r="J16" s="13" t="s">
        <v>79</v>
      </c>
    </row>
    <row r="17" spans="2:10" x14ac:dyDescent="0.35">
      <c r="B17" s="10" t="s">
        <v>67</v>
      </c>
      <c r="C17" s="10">
        <v>-114.15146206519213</v>
      </c>
      <c r="D17" s="10">
        <v>37.750702779735214</v>
      </c>
      <c r="E17" s="10">
        <v>-3.0238234962467843</v>
      </c>
      <c r="F17" s="10">
        <v>4.1127361165192392E-3</v>
      </c>
      <c r="G17" s="10">
        <v>-190.18528046649038</v>
      </c>
      <c r="H17" s="10">
        <v>-38.117643663893872</v>
      </c>
      <c r="I17" s="10">
        <v>-190.18528046649038</v>
      </c>
      <c r="J17" s="10">
        <v>-38.117643663893872</v>
      </c>
    </row>
    <row r="18" spans="2:10" x14ac:dyDescent="0.35">
      <c r="B18" s="10" t="s">
        <v>9</v>
      </c>
      <c r="C18" s="10">
        <v>0.96140805657941719</v>
      </c>
      <c r="D18" s="10">
        <v>0.2266370033106222</v>
      </c>
      <c r="E18" s="10">
        <v>4.2420612809715754</v>
      </c>
      <c r="F18" s="10">
        <v>1.0893379138236937E-4</v>
      </c>
      <c r="G18" s="10">
        <v>0.50493770016569361</v>
      </c>
      <c r="H18" s="10">
        <v>1.4178784129931408</v>
      </c>
      <c r="I18" s="10">
        <v>0.50493770016569361</v>
      </c>
      <c r="J18" s="10">
        <v>1.4178784129931408</v>
      </c>
    </row>
    <row r="19" spans="2:10" x14ac:dyDescent="0.35">
      <c r="B19" s="10" t="s">
        <v>10</v>
      </c>
      <c r="C19" s="10">
        <v>4.4881254634544388E-3</v>
      </c>
      <c r="D19" s="10">
        <v>1.6005885978859886E-3</v>
      </c>
      <c r="E19" s="10">
        <v>2.8040468796180518</v>
      </c>
      <c r="F19" s="10">
        <v>7.4232274945265873E-3</v>
      </c>
      <c r="G19" s="10">
        <v>1.264374544248228E-3</v>
      </c>
      <c r="H19" s="10">
        <v>7.7118763826606491E-3</v>
      </c>
      <c r="I19" s="10">
        <v>1.264374544248228E-3</v>
      </c>
      <c r="J19" s="10">
        <v>7.7118763826606491E-3</v>
      </c>
    </row>
    <row r="21" spans="2:10" x14ac:dyDescent="0.35">
      <c r="B21" s="21" t="s">
        <v>84</v>
      </c>
      <c r="C21" s="15"/>
    </row>
    <row r="22" spans="2:10" x14ac:dyDescent="0.35">
      <c r="B22" s="10" t="s">
        <v>102</v>
      </c>
      <c r="C22" s="15"/>
    </row>
    <row r="23" spans="2:10" x14ac:dyDescent="0.35">
      <c r="B23" s="10" t="s">
        <v>101</v>
      </c>
      <c r="C23" s="15"/>
    </row>
    <row r="24" spans="2:10" x14ac:dyDescent="0.35">
      <c r="B24" s="15"/>
      <c r="C24" s="15"/>
    </row>
    <row r="25" spans="2:10" x14ac:dyDescent="0.35">
      <c r="B25" s="15"/>
      <c r="C25" s="15"/>
    </row>
    <row r="26" spans="2:10" x14ac:dyDescent="0.35">
      <c r="B26" s="21" t="s">
        <v>88</v>
      </c>
      <c r="C26" s="20"/>
    </row>
    <row r="27" spans="2:10" x14ac:dyDescent="0.35">
      <c r="B27" s="19" t="s">
        <v>89</v>
      </c>
      <c r="C27" s="18"/>
    </row>
    <row r="29" spans="2:10" x14ac:dyDescent="0.35">
      <c r="B29" s="29" t="s">
        <v>80</v>
      </c>
      <c r="C29" s="30"/>
    </row>
    <row r="30" spans="2:10" x14ac:dyDescent="0.35">
      <c r="B30" s="10" t="s">
        <v>9</v>
      </c>
      <c r="C30" s="10">
        <v>172</v>
      </c>
    </row>
    <row r="31" spans="2:10" x14ac:dyDescent="0.35">
      <c r="B31" s="10" t="s">
        <v>93</v>
      </c>
      <c r="C31" s="11">
        <v>12479</v>
      </c>
    </row>
    <row r="32" spans="2:10" x14ac:dyDescent="0.35">
      <c r="B32" s="15"/>
      <c r="C32" s="16"/>
    </row>
    <row r="33" spans="2:3" x14ac:dyDescent="0.35">
      <c r="B33" s="15"/>
      <c r="C33" s="16"/>
    </row>
    <row r="34" spans="2:3" x14ac:dyDescent="0.35">
      <c r="B34" s="34" t="s">
        <v>83</v>
      </c>
      <c r="C34" s="34"/>
    </row>
    <row r="35" spans="2:3" x14ac:dyDescent="0.35">
      <c r="B35" s="17" t="s">
        <v>82</v>
      </c>
      <c r="C35" s="17" t="s">
        <v>73</v>
      </c>
    </row>
    <row r="36" spans="2:3" x14ac:dyDescent="0.35">
      <c r="B36" s="10" t="s">
        <v>94</v>
      </c>
      <c r="C36" s="14">
        <v>-114.15146206519213</v>
      </c>
    </row>
    <row r="37" spans="2:3" x14ac:dyDescent="0.35">
      <c r="B37" s="10" t="s">
        <v>9</v>
      </c>
      <c r="C37" s="14">
        <v>0.96140805657941719</v>
      </c>
    </row>
    <row r="38" spans="2:3" x14ac:dyDescent="0.35">
      <c r="B38" s="10" t="s">
        <v>10</v>
      </c>
      <c r="C38" s="14">
        <v>4.4881254634544388E-3</v>
      </c>
    </row>
    <row r="41" spans="2:3" x14ac:dyDescent="0.35">
      <c r="B41" s="23" t="s">
        <v>103</v>
      </c>
    </row>
    <row r="42" spans="2:3" x14ac:dyDescent="0.35">
      <c r="B42" s="22" t="s">
        <v>96</v>
      </c>
      <c r="C42" s="26">
        <f>C36+(C37*C30)+(C38*C31)</f>
        <v>107.21804132491557</v>
      </c>
    </row>
  </sheetData>
  <mergeCells count="4">
    <mergeCell ref="B3:C3"/>
    <mergeCell ref="B10:G10"/>
    <mergeCell ref="B29:C29"/>
    <mergeCell ref="B34:C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182C-66AB-4C42-A815-FDE3775AC232}">
  <dimension ref="B3:J36"/>
  <sheetViews>
    <sheetView topLeftCell="A19" zoomScale="73" workbookViewId="0">
      <selection activeCell="E23" sqref="E23"/>
    </sheetView>
  </sheetViews>
  <sheetFormatPr baseColWidth="10" defaultRowHeight="14.5" x14ac:dyDescent="0.35"/>
  <cols>
    <col min="2" max="2" width="29.90625" bestFit="1" customWidth="1"/>
    <col min="3" max="3" width="18.7265625" bestFit="1" customWidth="1"/>
    <col min="4" max="4" width="17.36328125" bestFit="1" customWidth="1"/>
    <col min="5" max="5" width="23.453125" bestFit="1" customWidth="1"/>
    <col min="6" max="6" width="11.81640625" bestFit="1" customWidth="1"/>
    <col min="7" max="7" width="15" bestFit="1" customWidth="1"/>
    <col min="9" max="9" width="13" bestFit="1" customWidth="1"/>
    <col min="10" max="10" width="13.7265625" bestFit="1" customWidth="1"/>
  </cols>
  <sheetData>
    <row r="3" spans="2:10" x14ac:dyDescent="0.35">
      <c r="B3" s="31" t="s">
        <v>57</v>
      </c>
      <c r="C3" s="33"/>
    </row>
    <row r="4" spans="2:10" x14ac:dyDescent="0.35">
      <c r="B4" s="10" t="s">
        <v>58</v>
      </c>
      <c r="C4" s="10">
        <v>0.78749075446182559</v>
      </c>
    </row>
    <row r="5" spans="2:10" x14ac:dyDescent="0.35">
      <c r="B5" s="10" t="s">
        <v>59</v>
      </c>
      <c r="C5" s="10">
        <v>0.62014168836285521</v>
      </c>
    </row>
    <row r="6" spans="2:10" x14ac:dyDescent="0.35">
      <c r="B6" s="10" t="s">
        <v>60</v>
      </c>
      <c r="C6" s="10">
        <v>0.61188389897943896</v>
      </c>
    </row>
    <row r="7" spans="2:10" x14ac:dyDescent="0.35">
      <c r="B7" s="10" t="s">
        <v>61</v>
      </c>
      <c r="C7" s="10">
        <v>21.116464821960097</v>
      </c>
    </row>
    <row r="8" spans="2:10" x14ac:dyDescent="0.35">
      <c r="B8" s="10" t="s">
        <v>62</v>
      </c>
      <c r="C8" s="10">
        <v>48</v>
      </c>
    </row>
    <row r="10" spans="2:10" x14ac:dyDescent="0.35">
      <c r="B10" s="31" t="s">
        <v>63</v>
      </c>
      <c r="C10" s="32"/>
      <c r="D10" s="32"/>
      <c r="E10" s="32"/>
      <c r="F10" s="32"/>
      <c r="G10" s="33"/>
    </row>
    <row r="11" spans="2:10" x14ac:dyDescent="0.35">
      <c r="B11" s="10"/>
      <c r="C11" s="10" t="s">
        <v>68</v>
      </c>
      <c r="D11" s="10" t="s">
        <v>69</v>
      </c>
      <c r="E11" s="10" t="s">
        <v>70</v>
      </c>
      <c r="F11" s="10" t="s">
        <v>71</v>
      </c>
      <c r="G11" s="10" t="s">
        <v>72</v>
      </c>
    </row>
    <row r="12" spans="2:10" x14ac:dyDescent="0.35">
      <c r="B12" s="10" t="s">
        <v>64</v>
      </c>
      <c r="C12" s="10">
        <v>1</v>
      </c>
      <c r="D12" s="10">
        <v>33486.484142454385</v>
      </c>
      <c r="E12" s="10">
        <v>33486.484142454385</v>
      </c>
      <c r="F12" s="10">
        <v>75.097784596960352</v>
      </c>
      <c r="G12" s="10">
        <v>3.1468090235937855E-11</v>
      </c>
    </row>
    <row r="13" spans="2:10" x14ac:dyDescent="0.35">
      <c r="B13" s="10" t="s">
        <v>65</v>
      </c>
      <c r="C13" s="10">
        <v>46</v>
      </c>
      <c r="D13" s="10">
        <v>20511.633982545602</v>
      </c>
      <c r="E13" s="10">
        <v>445.90508657707829</v>
      </c>
      <c r="F13" s="10"/>
      <c r="G13" s="10"/>
    </row>
    <row r="14" spans="2:10" x14ac:dyDescent="0.35">
      <c r="B14" s="10" t="s">
        <v>66</v>
      </c>
      <c r="C14" s="10">
        <v>47</v>
      </c>
      <c r="D14" s="10">
        <v>53998.118124999986</v>
      </c>
      <c r="E14" s="10"/>
      <c r="F14" s="10"/>
      <c r="G14" s="10"/>
    </row>
    <row r="16" spans="2:10" x14ac:dyDescent="0.35">
      <c r="B16" s="13" t="s">
        <v>97</v>
      </c>
      <c r="C16" s="24" t="s">
        <v>73</v>
      </c>
      <c r="D16" s="13" t="s">
        <v>61</v>
      </c>
      <c r="E16" s="24" t="s">
        <v>74</v>
      </c>
      <c r="F16" s="31" t="s">
        <v>75</v>
      </c>
      <c r="G16" s="33" t="s">
        <v>76</v>
      </c>
      <c r="H16" s="31" t="s">
        <v>77</v>
      </c>
      <c r="I16" s="33" t="s">
        <v>78</v>
      </c>
      <c r="J16" s="13" t="s">
        <v>79</v>
      </c>
    </row>
    <row r="17" spans="2:10" x14ac:dyDescent="0.35">
      <c r="B17" s="10" t="s">
        <v>94</v>
      </c>
      <c r="C17" s="10">
        <v>133.1295320052651</v>
      </c>
      <c r="D17" s="10">
        <v>7.5831707539917987</v>
      </c>
      <c r="E17" s="10">
        <v>17.555919063959546</v>
      </c>
      <c r="F17" s="10">
        <v>5.0990651016544883E-22</v>
      </c>
      <c r="G17" s="10">
        <v>117.86540096870048</v>
      </c>
      <c r="H17" s="10">
        <v>148.39366304182974</v>
      </c>
      <c r="I17" s="10">
        <v>117.86540096870048</v>
      </c>
      <c r="J17" s="10">
        <v>148.39366304182974</v>
      </c>
    </row>
    <row r="18" spans="2:10" x14ac:dyDescent="0.35">
      <c r="B18" s="10" t="s">
        <v>8</v>
      </c>
      <c r="C18" s="10">
        <v>-4.2165219507339042</v>
      </c>
      <c r="D18" s="10">
        <v>0.48656492961022207</v>
      </c>
      <c r="E18" s="10">
        <v>-8.6658977952062433</v>
      </c>
      <c r="F18" s="10">
        <v>3.1468090235937403E-11</v>
      </c>
      <c r="G18" s="10">
        <v>-5.1959263561348621</v>
      </c>
      <c r="H18" s="10">
        <v>-3.2371175453329459</v>
      </c>
      <c r="I18" s="10">
        <v>-5.1959263561348621</v>
      </c>
      <c r="J18" s="10">
        <v>-3.2371175453329459</v>
      </c>
    </row>
    <row r="20" spans="2:10" x14ac:dyDescent="0.35">
      <c r="B20" s="21" t="s">
        <v>84</v>
      </c>
    </row>
    <row r="21" spans="2:10" x14ac:dyDescent="0.35">
      <c r="B21" s="10" t="s">
        <v>85</v>
      </c>
    </row>
    <row r="22" spans="2:10" x14ac:dyDescent="0.35">
      <c r="B22" s="15"/>
    </row>
    <row r="23" spans="2:10" x14ac:dyDescent="0.35">
      <c r="B23" s="21" t="s">
        <v>88</v>
      </c>
    </row>
    <row r="24" spans="2:10" x14ac:dyDescent="0.35">
      <c r="B24" s="19" t="s">
        <v>89</v>
      </c>
    </row>
    <row r="26" spans="2:10" x14ac:dyDescent="0.35">
      <c r="B26" s="29" t="s">
        <v>80</v>
      </c>
      <c r="C26" s="30"/>
    </row>
    <row r="27" spans="2:10" x14ac:dyDescent="0.35">
      <c r="B27" s="10" t="s">
        <v>91</v>
      </c>
      <c r="C27" s="10">
        <v>11</v>
      </c>
    </row>
    <row r="29" spans="2:10" x14ac:dyDescent="0.35">
      <c r="B29" s="34" t="s">
        <v>83</v>
      </c>
      <c r="C29" s="34"/>
    </row>
    <row r="30" spans="2:10" x14ac:dyDescent="0.35">
      <c r="B30" s="17" t="s">
        <v>82</v>
      </c>
      <c r="C30" s="17" t="s">
        <v>73</v>
      </c>
    </row>
    <row r="31" spans="2:10" x14ac:dyDescent="0.35">
      <c r="B31" s="10" t="s">
        <v>94</v>
      </c>
      <c r="C31" s="14">
        <v>133.1295320052651</v>
      </c>
    </row>
    <row r="32" spans="2:10" x14ac:dyDescent="0.35">
      <c r="B32" s="10" t="s">
        <v>8</v>
      </c>
      <c r="C32" s="14">
        <v>-4.2165219507339042</v>
      </c>
    </row>
    <row r="34" spans="2:3" x14ac:dyDescent="0.35">
      <c r="B34" s="23" t="s">
        <v>104</v>
      </c>
    </row>
    <row r="35" spans="2:3" x14ac:dyDescent="0.35">
      <c r="B35" s="22" t="s">
        <v>96</v>
      </c>
      <c r="C35" s="28">
        <f>C31+(C32*C27)</f>
        <v>86.747790547192153</v>
      </c>
    </row>
    <row r="36" spans="2:3" x14ac:dyDescent="0.35">
      <c r="C36" s="27"/>
    </row>
  </sheetData>
  <mergeCells count="6">
    <mergeCell ref="H16:I16"/>
    <mergeCell ref="B26:C26"/>
    <mergeCell ref="B29:C29"/>
    <mergeCell ref="B10:G10"/>
    <mergeCell ref="B3:C3"/>
    <mergeCell ref="F16:G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9D20-9F83-429F-9DB7-9B435D368402}">
  <dimension ref="B3:J35"/>
  <sheetViews>
    <sheetView topLeftCell="A6" workbookViewId="0">
      <selection activeCell="B36" sqref="B36"/>
    </sheetView>
  </sheetViews>
  <sheetFormatPr baseColWidth="10" defaultRowHeight="14.5" x14ac:dyDescent="0.35"/>
  <cols>
    <col min="2" max="2" width="29.90625" bestFit="1" customWidth="1"/>
    <col min="3" max="3" width="16.36328125" bestFit="1" customWidth="1"/>
    <col min="4" max="4" width="17.26953125" bestFit="1" customWidth="1"/>
    <col min="5" max="5" width="23.6328125" bestFit="1" customWidth="1"/>
    <col min="7" max="7" width="14.54296875" bestFit="1" customWidth="1"/>
    <col min="10" max="10" width="13.36328125" bestFit="1" customWidth="1"/>
  </cols>
  <sheetData>
    <row r="3" spans="2:10" x14ac:dyDescent="0.35">
      <c r="B3" s="31" t="s">
        <v>57</v>
      </c>
      <c r="C3" s="33"/>
    </row>
    <row r="4" spans="2:10" x14ac:dyDescent="0.35">
      <c r="B4" s="10" t="s">
        <v>58</v>
      </c>
      <c r="C4" s="10">
        <v>0.51480534549958168</v>
      </c>
    </row>
    <row r="5" spans="2:10" x14ac:dyDescent="0.35">
      <c r="B5" s="10" t="s">
        <v>59</v>
      </c>
      <c r="C5" s="10">
        <v>0.26502454375494361</v>
      </c>
    </row>
    <row r="6" spans="2:10" x14ac:dyDescent="0.35">
      <c r="B6" s="10" t="s">
        <v>60</v>
      </c>
      <c r="C6" s="10">
        <v>0.24904681644526849</v>
      </c>
    </row>
    <row r="7" spans="2:10" x14ac:dyDescent="0.35">
      <c r="B7" s="10" t="s">
        <v>61</v>
      </c>
      <c r="C7" s="10">
        <v>29.372899186782302</v>
      </c>
    </row>
    <row r="8" spans="2:10" x14ac:dyDescent="0.35">
      <c r="B8" s="10" t="s">
        <v>62</v>
      </c>
      <c r="C8" s="10">
        <v>48</v>
      </c>
    </row>
    <row r="10" spans="2:10" x14ac:dyDescent="0.35">
      <c r="B10" s="31" t="s">
        <v>63</v>
      </c>
      <c r="C10" s="32"/>
      <c r="D10" s="32"/>
      <c r="E10" s="32"/>
      <c r="F10" s="32"/>
      <c r="G10" s="33"/>
    </row>
    <row r="11" spans="2:10" x14ac:dyDescent="0.35">
      <c r="B11" s="10"/>
      <c r="C11" s="10" t="s">
        <v>68</v>
      </c>
      <c r="D11" s="10" t="s">
        <v>69</v>
      </c>
      <c r="E11" s="10" t="s">
        <v>70</v>
      </c>
      <c r="F11" s="10" t="s">
        <v>71</v>
      </c>
      <c r="G11" s="10" t="s">
        <v>72</v>
      </c>
    </row>
    <row r="12" spans="2:10" x14ac:dyDescent="0.35">
      <c r="B12" s="10" t="s">
        <v>64</v>
      </c>
      <c r="C12" s="10">
        <v>1</v>
      </c>
      <c r="D12" s="10">
        <v>14310.826619703672</v>
      </c>
      <c r="E12" s="10">
        <v>14310.826619703672</v>
      </c>
      <c r="F12" s="10">
        <v>16.587123976916345</v>
      </c>
      <c r="G12" s="10">
        <v>1.8135155507061372E-4</v>
      </c>
    </row>
    <row r="13" spans="2:10" x14ac:dyDescent="0.35">
      <c r="B13" s="10" t="s">
        <v>65</v>
      </c>
      <c r="C13" s="10">
        <v>46</v>
      </c>
      <c r="D13" s="10">
        <v>39687.291505296314</v>
      </c>
      <c r="E13" s="10">
        <v>862.76720663687638</v>
      </c>
      <c r="F13" s="10"/>
      <c r="G13" s="10"/>
    </row>
    <row r="14" spans="2:10" x14ac:dyDescent="0.35">
      <c r="B14" s="10" t="s">
        <v>66</v>
      </c>
      <c r="C14" s="10">
        <v>47</v>
      </c>
      <c r="D14" s="10">
        <v>53998.118124999986</v>
      </c>
      <c r="E14" s="10"/>
      <c r="F14" s="10"/>
      <c r="G14" s="10"/>
    </row>
    <row r="16" spans="2:10" x14ac:dyDescent="0.35">
      <c r="B16" s="13" t="s">
        <v>97</v>
      </c>
      <c r="C16" s="24" t="s">
        <v>73</v>
      </c>
      <c r="D16" s="13" t="s">
        <v>61</v>
      </c>
      <c r="E16" s="24" t="s">
        <v>74</v>
      </c>
      <c r="F16" s="31" t="s">
        <v>75</v>
      </c>
      <c r="G16" s="33" t="s">
        <v>76</v>
      </c>
      <c r="H16" s="31" t="s">
        <v>77</v>
      </c>
      <c r="I16" s="33" t="s">
        <v>78</v>
      </c>
      <c r="J16" s="13" t="s">
        <v>79</v>
      </c>
    </row>
    <row r="17" spans="2:10" x14ac:dyDescent="0.35">
      <c r="B17" s="10" t="s">
        <v>94</v>
      </c>
      <c r="C17" s="10">
        <v>-84.165099003431735</v>
      </c>
      <c r="D17" s="10">
        <v>38.811139676975422</v>
      </c>
      <c r="E17" s="10">
        <v>-2.1685809719564197</v>
      </c>
      <c r="F17" s="10">
        <v>3.5321419156940932E-2</v>
      </c>
      <c r="G17" s="10">
        <v>-162.28787124826283</v>
      </c>
      <c r="H17" s="10">
        <v>-6.0423267586006375</v>
      </c>
      <c r="I17" s="10">
        <v>-162.28787124826283</v>
      </c>
      <c r="J17" s="10">
        <v>-6.0423267586006375</v>
      </c>
    </row>
    <row r="18" spans="2:10" x14ac:dyDescent="0.35">
      <c r="B18" s="10" t="s">
        <v>9</v>
      </c>
      <c r="C18" s="10">
        <v>0.9885861332780248</v>
      </c>
      <c r="D18" s="10">
        <v>0.24273308135359292</v>
      </c>
      <c r="E18" s="10">
        <v>4.0727293031720571</v>
      </c>
      <c r="F18" s="10">
        <v>1.8135155507061372E-4</v>
      </c>
      <c r="G18" s="10">
        <v>0.49998978210922568</v>
      </c>
      <c r="H18" s="10">
        <v>1.477182484446824</v>
      </c>
      <c r="I18" s="10">
        <v>0.49998978210922568</v>
      </c>
      <c r="J18" s="10">
        <v>1.477182484446824</v>
      </c>
    </row>
    <row r="20" spans="2:10" x14ac:dyDescent="0.35">
      <c r="B20" s="21" t="s">
        <v>84</v>
      </c>
    </row>
    <row r="21" spans="2:10" x14ac:dyDescent="0.35">
      <c r="B21" s="10" t="s">
        <v>102</v>
      </c>
    </row>
    <row r="22" spans="2:10" x14ac:dyDescent="0.35">
      <c r="B22" s="15"/>
    </row>
    <row r="23" spans="2:10" x14ac:dyDescent="0.35">
      <c r="B23" s="21" t="s">
        <v>88</v>
      </c>
    </row>
    <row r="24" spans="2:10" x14ac:dyDescent="0.35">
      <c r="B24" s="19" t="s">
        <v>89</v>
      </c>
    </row>
    <row r="26" spans="2:10" x14ac:dyDescent="0.35">
      <c r="B26" s="29" t="s">
        <v>80</v>
      </c>
      <c r="C26" s="30"/>
    </row>
    <row r="27" spans="2:10" x14ac:dyDescent="0.35">
      <c r="B27" s="10" t="s">
        <v>9</v>
      </c>
      <c r="C27" s="10">
        <v>172</v>
      </c>
    </row>
    <row r="29" spans="2:10" x14ac:dyDescent="0.35">
      <c r="B29" s="34" t="s">
        <v>83</v>
      </c>
      <c r="C29" s="34"/>
    </row>
    <row r="30" spans="2:10" x14ac:dyDescent="0.35">
      <c r="B30" s="17" t="s">
        <v>82</v>
      </c>
      <c r="C30" s="17" t="s">
        <v>73</v>
      </c>
    </row>
    <row r="31" spans="2:10" x14ac:dyDescent="0.35">
      <c r="B31" s="10" t="s">
        <v>94</v>
      </c>
      <c r="C31" s="14">
        <v>-84.165099003431735</v>
      </c>
    </row>
    <row r="32" spans="2:10" x14ac:dyDescent="0.35">
      <c r="B32" s="10" t="s">
        <v>9</v>
      </c>
      <c r="C32" s="14">
        <v>0.9885861332780248</v>
      </c>
    </row>
    <row r="34" spans="2:3" x14ac:dyDescent="0.35">
      <c r="B34" s="23" t="s">
        <v>105</v>
      </c>
    </row>
    <row r="35" spans="2:3" x14ac:dyDescent="0.35">
      <c r="B35" s="22" t="s">
        <v>96</v>
      </c>
      <c r="C35" s="26">
        <f>C31+(C32*C27)</f>
        <v>85.871715920388525</v>
      </c>
    </row>
  </sheetData>
  <mergeCells count="6">
    <mergeCell ref="B29:C29"/>
    <mergeCell ref="B3:C3"/>
    <mergeCell ref="B10:G10"/>
    <mergeCell ref="F16:G16"/>
    <mergeCell ref="H16:I16"/>
    <mergeCell ref="B26:C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566C-BF75-4A26-B12F-E426081D83C7}">
  <dimension ref="B3:J35"/>
  <sheetViews>
    <sheetView workbookViewId="0">
      <selection activeCell="D39" sqref="D39"/>
    </sheetView>
  </sheetViews>
  <sheetFormatPr baseColWidth="10" defaultRowHeight="14.5" x14ac:dyDescent="0.35"/>
  <cols>
    <col min="2" max="2" width="29.90625" bestFit="1" customWidth="1"/>
    <col min="3" max="3" width="16.36328125" bestFit="1" customWidth="1"/>
    <col min="4" max="4" width="17.26953125" bestFit="1" customWidth="1"/>
    <col min="5" max="5" width="23.6328125" bestFit="1" customWidth="1"/>
    <col min="6" max="6" width="11.81640625" bestFit="1" customWidth="1"/>
    <col min="7" max="7" width="14.54296875" bestFit="1" customWidth="1"/>
    <col min="10" max="10" width="13.36328125" bestFit="1" customWidth="1"/>
  </cols>
  <sheetData>
    <row r="3" spans="2:10" x14ac:dyDescent="0.35">
      <c r="B3" s="31" t="s">
        <v>57</v>
      </c>
      <c r="C3" s="33"/>
    </row>
    <row r="4" spans="2:10" x14ac:dyDescent="0.35">
      <c r="B4" s="10" t="s">
        <v>58</v>
      </c>
      <c r="C4" s="10">
        <v>0.35234756141825668</v>
      </c>
    </row>
    <row r="5" spans="2:10" x14ac:dyDescent="0.35">
      <c r="B5" s="10" t="s">
        <v>59</v>
      </c>
      <c r="C5" s="10">
        <v>0.12414880403739215</v>
      </c>
    </row>
    <row r="6" spans="2:10" x14ac:dyDescent="0.35">
      <c r="B6" s="10" t="s">
        <v>60</v>
      </c>
      <c r="C6" s="10">
        <v>0.10510856064690068</v>
      </c>
    </row>
    <row r="7" spans="2:10" x14ac:dyDescent="0.35">
      <c r="B7" s="10" t="s">
        <v>61</v>
      </c>
      <c r="C7" s="10">
        <v>32.064580329836048</v>
      </c>
    </row>
    <row r="8" spans="2:10" x14ac:dyDescent="0.35">
      <c r="B8" s="10" t="s">
        <v>62</v>
      </c>
      <c r="C8" s="10">
        <v>48</v>
      </c>
    </row>
    <row r="10" spans="2:10" x14ac:dyDescent="0.35">
      <c r="B10" s="31" t="s">
        <v>63</v>
      </c>
      <c r="C10" s="32"/>
      <c r="D10" s="32"/>
      <c r="E10" s="32"/>
      <c r="F10" s="32"/>
      <c r="G10" s="33"/>
    </row>
    <row r="11" spans="2:10" x14ac:dyDescent="0.35">
      <c r="B11" s="10"/>
      <c r="C11" s="10" t="s">
        <v>68</v>
      </c>
      <c r="D11" s="10" t="s">
        <v>69</v>
      </c>
      <c r="E11" s="10" t="s">
        <v>70</v>
      </c>
      <c r="F11" s="10" t="s">
        <v>71</v>
      </c>
      <c r="G11" s="10" t="s">
        <v>72</v>
      </c>
    </row>
    <row r="12" spans="2:10" x14ac:dyDescent="0.35">
      <c r="B12" s="10" t="s">
        <v>64</v>
      </c>
      <c r="C12" s="10">
        <v>1</v>
      </c>
      <c r="D12" s="10">
        <v>6703.8017854885766</v>
      </c>
      <c r="E12" s="10">
        <v>6703.8017854885766</v>
      </c>
      <c r="F12" s="10">
        <v>6.5203370299032493</v>
      </c>
      <c r="G12" s="10">
        <v>1.4044560689764743E-2</v>
      </c>
    </row>
    <row r="13" spans="2:10" x14ac:dyDescent="0.35">
      <c r="B13" s="10" t="s">
        <v>65</v>
      </c>
      <c r="C13" s="10">
        <v>46</v>
      </c>
      <c r="D13" s="10">
        <v>47294.31633951141</v>
      </c>
      <c r="E13" s="10">
        <v>1028.1373117285088</v>
      </c>
      <c r="F13" s="10"/>
      <c r="G13" s="10"/>
    </row>
    <row r="14" spans="2:10" x14ac:dyDescent="0.35">
      <c r="B14" s="10" t="s">
        <v>66</v>
      </c>
      <c r="C14" s="10">
        <v>47</v>
      </c>
      <c r="D14" s="10">
        <v>53998.118124999986</v>
      </c>
      <c r="E14" s="10"/>
      <c r="F14" s="10"/>
      <c r="G14" s="10"/>
    </row>
    <row r="16" spans="2:10" x14ac:dyDescent="0.35">
      <c r="B16" s="13" t="s">
        <v>97</v>
      </c>
      <c r="C16" s="24" t="s">
        <v>73</v>
      </c>
      <c r="D16" s="13" t="s">
        <v>61</v>
      </c>
      <c r="E16" s="24" t="s">
        <v>74</v>
      </c>
      <c r="F16" s="31" t="s">
        <v>75</v>
      </c>
      <c r="G16" s="33" t="s">
        <v>76</v>
      </c>
      <c r="H16" s="31" t="s">
        <v>77</v>
      </c>
      <c r="I16" s="33" t="s">
        <v>78</v>
      </c>
      <c r="J16" s="13" t="s">
        <v>79</v>
      </c>
    </row>
    <row r="17" spans="2:10" x14ac:dyDescent="0.35">
      <c r="B17" s="10" t="s">
        <v>94</v>
      </c>
      <c r="C17" s="10">
        <v>36.430785856013493</v>
      </c>
      <c r="D17" s="10">
        <v>15.034193594502533</v>
      </c>
      <c r="E17" s="10">
        <v>2.4231952067808233</v>
      </c>
      <c r="F17" s="10">
        <v>1.937787653618913E-2</v>
      </c>
      <c r="G17" s="10">
        <v>6.1685237363366596</v>
      </c>
      <c r="H17" s="10">
        <v>66.69304797569032</v>
      </c>
      <c r="I17" s="10">
        <v>6.1685237363366596</v>
      </c>
      <c r="J17" s="10">
        <v>66.69304797569032</v>
      </c>
    </row>
    <row r="18" spans="2:10" x14ac:dyDescent="0.35">
      <c r="B18" s="10" t="s">
        <v>10</v>
      </c>
      <c r="C18" s="10">
        <v>4.7785005067112717E-3</v>
      </c>
      <c r="D18" s="10">
        <v>1.8713568623906741E-3</v>
      </c>
      <c r="E18" s="10">
        <v>2.5534950616563306</v>
      </c>
      <c r="F18" s="10">
        <v>1.4044560689764623E-2</v>
      </c>
      <c r="G18" s="10">
        <v>1.0116545143974104E-3</v>
      </c>
      <c r="H18" s="10">
        <v>8.5453464990251325E-3</v>
      </c>
      <c r="I18" s="10">
        <v>1.0116545143974104E-3</v>
      </c>
      <c r="J18" s="10">
        <v>8.5453464990251325E-3</v>
      </c>
    </row>
    <row r="20" spans="2:10" x14ac:dyDescent="0.35">
      <c r="B20" s="21" t="s">
        <v>84</v>
      </c>
    </row>
    <row r="21" spans="2:10" x14ac:dyDescent="0.35">
      <c r="B21" s="10" t="s">
        <v>101</v>
      </c>
    </row>
    <row r="22" spans="2:10" x14ac:dyDescent="0.35">
      <c r="B22" s="15"/>
    </row>
    <row r="23" spans="2:10" x14ac:dyDescent="0.35">
      <c r="B23" s="21" t="s">
        <v>88</v>
      </c>
    </row>
    <row r="24" spans="2:10" x14ac:dyDescent="0.35">
      <c r="B24" s="19" t="s">
        <v>89</v>
      </c>
    </row>
    <row r="26" spans="2:10" x14ac:dyDescent="0.35">
      <c r="B26" s="29" t="s">
        <v>80</v>
      </c>
      <c r="C26" s="30"/>
    </row>
    <row r="27" spans="2:10" x14ac:dyDescent="0.35">
      <c r="B27" s="10" t="s">
        <v>93</v>
      </c>
      <c r="C27" s="11">
        <v>12479</v>
      </c>
    </row>
    <row r="29" spans="2:10" x14ac:dyDescent="0.35">
      <c r="B29" s="34" t="s">
        <v>83</v>
      </c>
      <c r="C29" s="34"/>
    </row>
    <row r="30" spans="2:10" x14ac:dyDescent="0.35">
      <c r="B30" s="17" t="s">
        <v>82</v>
      </c>
      <c r="C30" s="17" t="s">
        <v>73</v>
      </c>
    </row>
    <row r="31" spans="2:10" x14ac:dyDescent="0.35">
      <c r="B31" s="10" t="s">
        <v>94</v>
      </c>
      <c r="C31" s="14">
        <v>36.430785856013493</v>
      </c>
    </row>
    <row r="32" spans="2:10" x14ac:dyDescent="0.35">
      <c r="B32" s="10" t="s">
        <v>10</v>
      </c>
      <c r="C32" s="14">
        <v>4.7785005067112717E-3</v>
      </c>
    </row>
    <row r="34" spans="2:3" x14ac:dyDescent="0.35">
      <c r="B34" s="23" t="s">
        <v>106</v>
      </c>
    </row>
    <row r="35" spans="2:3" x14ac:dyDescent="0.35">
      <c r="B35" s="22" t="s">
        <v>96</v>
      </c>
      <c r="C35" s="26">
        <f>C31+(C32*C27)</f>
        <v>96.061693679263442</v>
      </c>
    </row>
  </sheetData>
  <mergeCells count="6">
    <mergeCell ref="B29:C29"/>
    <mergeCell ref="B3:C3"/>
    <mergeCell ref="B10:G10"/>
    <mergeCell ref="F16:G16"/>
    <mergeCell ref="H16:I16"/>
    <mergeCell ref="B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</vt:lpstr>
      <vt:lpstr>X1_X2_X3</vt:lpstr>
      <vt:lpstr>X1_X2</vt:lpstr>
      <vt:lpstr>X1_X3</vt:lpstr>
      <vt:lpstr>X2_X3</vt:lpstr>
      <vt:lpstr>X1</vt:lpstr>
      <vt:lpstr>X2</vt:lpstr>
      <vt:lpstr>X3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lalav</cp:lastModifiedBy>
  <dcterms:created xsi:type="dcterms:W3CDTF">2022-05-02T04:19:43Z</dcterms:created>
  <dcterms:modified xsi:type="dcterms:W3CDTF">2022-11-14T18:00:34Z</dcterms:modified>
</cp:coreProperties>
</file>